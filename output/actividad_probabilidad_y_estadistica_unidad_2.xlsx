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rtada" sheetId="1" r:id="rId1"/>
    <sheet name="Presentación" sheetId="2" r:id="rId2"/>
    <sheet name="Introducción" sheetId="3" r:id="rId3"/>
    <sheet name="Objetivos" sheetId="4" r:id="rId4"/>
    <sheet name="Ejercicio 1" sheetId="5" r:id="rId5"/>
    <sheet name="Ejercicio 2" sheetId="6" r:id="rId6"/>
    <sheet name="Ejercicio 3" sheetId="7" r:id="rId7"/>
    <sheet name="Conclusiones" sheetId="8" r:id="rId8"/>
    <sheet name="Bibliografía" sheetId="9" r:id="rId9"/>
    <sheet name="Anexos" sheetId="10" r:id="rId10"/>
    <sheet name="DATOS" sheetId="11" r:id="rId11"/>
  </sheets>
  <definedNames>
    <definedName name="_xlnm.Print_Area" localSheetId="5">'Ejercicio 2'!$A$1:$M$151</definedName>
  </definedNames>
  <calcPr calcId="124519" fullCalcOnLoad="1"/>
</workbook>
</file>

<file path=xl/sharedStrings.xml><?xml version="1.0" encoding="utf-8"?>
<sst xmlns="http://schemas.openxmlformats.org/spreadsheetml/2006/main" count="1694" uniqueCount="424">
  <si>
    <t>Universidad de Cartagena</t>
  </si>
  <si>
    <t>Centro Tecnológico para la Formación Virtual y a Distancia (CTEV)</t>
  </si>
  <si>
    <t>Programa</t>
  </si>
  <si>
    <t>Ingeniería de Software</t>
  </si>
  <si>
    <t>Asignatura</t>
  </si>
  <si>
    <t>Probabilidad y Estadística</t>
  </si>
  <si>
    <t>Código</t>
  </si>
  <si>
    <t>AF17401</t>
  </si>
  <si>
    <t>Título</t>
  </si>
  <si>
    <t>Guía de actividad No 2: Estadística descriptiva</t>
  </si>
  <si>
    <t>Autor</t>
  </si>
  <si>
    <t>Jairo Alonso Osorio Cruz</t>
  </si>
  <si>
    <t>Semestre</t>
  </si>
  <si>
    <t>VI</t>
  </si>
  <si>
    <t>Tutor</t>
  </si>
  <si>
    <t>PENDIENTE: nombre del tutor</t>
  </si>
  <si>
    <t>Fecha</t>
  </si>
  <si>
    <t>PENDIENTE: fecha de entrega</t>
  </si>
  <si>
    <t>Presentación</t>
  </si>
  <si>
    <t>Este libro de Excel reúne el desarrollo de la Guía de actividad No 2 de Probabilidad y Estadística (AF17401), del programa de Ingeniería de Software de la Universidad de Cartagena. La guía plantea que la Gobernación del Tolima necesita conocer los índices de accidentalidad del departamento, sus posibles causas y sus puntos críticos, y para ello entrega una base con 400 accidentes de tránsito ocurridos en tres municipios.</t>
  </si>
  <si>
    <t>Este trabajo desarrolla la fase inicial, que consiste en organizar los datos y describirlos. El libro contiene la Tabla 1 con seis conceptos estadísticos, el análisis de la velocidad registrada con su tabla de frecuencia, sus gráficos y sus medidas, y el análisis de la relación entre los años de experiencia del conductor y su histórico de infracciones mediante regresión lineal y correlación de Pearson. Las medidas se calcularon con fórmulas de Excel que apuntan a la hoja de datos incluida en los anexos.</t>
  </si>
  <si>
    <t>Introducción</t>
  </si>
  <si>
    <t>El crecimiento de las ciudades y del uso del vehículo automotor ha convertido los accidentes de tránsito en un problema de salud pública: dejan personas fallecidas y heridas, y pérdidas materiales considerables. Para formular soluciones, las autoridades encargadas de las vías y del tránsito necesitan información detallada sobre cuándo, dónde y bajo qué condiciones ocurren los siniestros.</t>
  </si>
  <si>
    <t>La base de datos del Anexo 1 recoge 400 accidentes en Ibagué (185), Melgar (119) y Espinal (96). Cada registro tiene nueve variables: municipio, edad del conductor, personas fallecidas, personas heridas, velocidad registrada, costo del accidente, nivel educativo, años de experiencia e histórico de infracciones. Al revisarla encontramos 13 parejas de registros idénticos en todas sus columnas. Se conservaron los 400 registros para que el análisis corresponda a la base tal como fue entregada.</t>
  </si>
  <si>
    <t>La estadística descriptiva resume un conjunto de datos con tablas, gráficos y medidas. Las medidas de tendencia central indican alrededor de qué valores se agrupan los datos, las de posición ubican valores dentro del orden de los datos, las de dispersión muestran qué tan separados están, y las de dependencia lineal miden si dos variables cambian juntas.</t>
  </si>
  <si>
    <t>El libro sigue el orden de la guía. El ejercicio 1 define seis conceptos con ejemplos de la base, el ejercicio 2 analiza la velocidad registrada y el ejercicio 3 estudia la relación entre años de experiencia e infracciones. Después vienen las conclusiones, la bibliografía y los anexos, que incluyen la hoja de datos, la verificación de los cálculos y las convenciones que adoptamos.</t>
  </si>
  <si>
    <t>Objetivos</t>
  </si>
  <si>
    <t>Objetivo general</t>
  </si>
  <si>
    <t>Emplear las medidas estadísticas de tendencia central, de dispersión, de posición y de dependencia lineal en la solución de problemas, aplicándolas a la base de datos de accidentalidad del Tolima.</t>
  </si>
  <si>
    <t>Objetivos específicos</t>
  </si>
  <si>
    <t>1. Explicar con palabras propias los conceptos de frecuencia absoluta, frecuencia relativa, media, medidas de dispersión, regresión lineal y correlación de Pearson, con ejemplos tomados de la base de datos.</t>
  </si>
  <si>
    <t>2. Organizar la velocidad registrada en una tabla de frecuencia con datos agrupados, representarla con un histograma, un diagrama circular y un polígono de frecuencia, y calcular e interpretar sus medidas de tendencia central, de posición y de dispersión, su asimetría y su curtosis.</t>
  </si>
  <si>
    <t>3. Establecer la relación lineal entre los años de experiencia del conductor y el histórico de infracciones mediante la ecuación de regresión, el coeficiente de determinación y el coeficiente de correlación de Pearson, y usar la ecuación para hacer predicciones.</t>
  </si>
  <si>
    <t>Ejercicio 1: definiciones de conceptos estadísticos</t>
  </si>
  <si>
    <t>Tabla 1. Definiciones de conceptos</t>
  </si>
  <si>
    <t>Conceptos</t>
  </si>
  <si>
    <t>Definiciones</t>
  </si>
  <si>
    <t>Ejemplos</t>
  </si>
  <si>
    <t>Frecuencia absoluta</t>
  </si>
  <si>
    <t>Es la cantidad de veces que aparece un valor, o un grupo de valores, dentro de los datos. Se obtiene contando, así que siempre es un número entero, y si sumamos las frecuencias de todos los valores obtenemos el total de datos (n).</t>
  </si>
  <si>
    <t>De los 400 accidentes de la base, 185 ocurrieron en Ibagué, 119 en Melgar y 96 en Espinal. Esos tres números son las frecuencias absolutas del municipio y suman 400.</t>
  </si>
  <si>
    <t>Frecuencia relativa</t>
  </si>
  <si>
    <t>Es la parte del total que representa cada valor. Se calcula dividiendo su frecuencia absoluta entre el total de datos y da un número entre 0 y 1, que también se puede escribir como porcentaje. Sirve para comparar grupos sin que importe cuántos datos tenga cada uno, y todas las frecuencias relativas juntas suman 1.</t>
  </si>
  <si>
    <t>En Ibagué ocurrieron 185 de los 400 accidentes, es decir 185/400 = 0,4625, o sea el 46,25%. Melgar aporta el 29,75% y Espinal el 24%. Por nivel educativo, los conductores bachilleres son 210/400 = 52,5%.</t>
  </si>
  <si>
    <t>Media</t>
  </si>
  <si>
    <t>Es el promedio de los datos: sumamos todos los valores y dividimos entre la cantidad de valores. Representa el punto de equilibrio de los datos, por eso un valor muy alejado del resto la mueve con facilidad. Solo se puede calcular con variables numéricas.</t>
  </si>
  <si>
    <t>Al sumar las velocidades registradas de los 400 accidentes y dividir entre 400 resulta 89,86 km/h, es decir que en promedio el vehículo causante iba casi a 90 km/h. El costo medio por accidente es de 188,21 millones de pesos.</t>
  </si>
  <si>
    <t>Medidas de dispersión</t>
  </si>
  <si>
    <t>Indican qué tan juntos o qué tan repartidos están los datos alrededor de su centro. Dos conjuntos pueden tener la misma media y comportarse muy distinto: en uno los datos son parecidos entre sí y en otro están muy dispersos. Las más usadas son el rango (máximo menos mínimo), la varianza, la desviación típica y el coeficiente de variación, que es la desviación dividida entre la media y permite comparar variables con unidades diferentes.</t>
  </si>
  <si>
    <t>Las velocidades van de 32,1 a 140,8 km/h, así que el rango es de 108,7 km/h. La desviación típica es de 30,39 km/h y el coeficiente de variación de 33,8%, lo que indica que las velocidades se alejan en promedio unos 30 km/h de la media. En cambio, los años de experiencia tienen media de 3,60 y desviación de 3,97, un coeficiente de variación de 110,2%, mucho más disperso en términos relativos.</t>
  </si>
  <si>
    <t>Regresión lineal</t>
  </si>
  <si>
    <t>Es una técnica que busca la recta que mejor describe cómo cambia una variable (la dependiente, y) cuando cambia otra (la independiente, x). La recta se escribe y = a + bx: la pendiente b dice cuánto cambia y por cada unidad que aumenta x, y el intercepto a es el valor de y cuando x vale 0. Se ajusta por mínimos cuadrados, de modo que las distancias de los puntos a la recta sean lo más pequeñas posible en conjunto. Sirve para predecir dentro del rango observado, pero por sí sola no demuestra que una variable cause la otra.</t>
  </si>
  <si>
    <t>Con los años de experiencia (x) y el histórico de infracciones (y) de los 400 conductores, la recta es y = 1,73 + 0,77x. La pendiente indica que por cada año más de experiencia, el modelo asocia unas 0,77 infracciones adicionales en los últimos cinco años.</t>
  </si>
  <si>
    <t>Correlación de Pearson</t>
  </si>
  <si>
    <t>Es un número r, entre -1 y 1, que mide qué tan fuerte es la relación lineal entre dos variables numéricas y en qué sentido va. Si r se acerca a 1, cuando una variable sube la otra también; si se acerca a -1, cuando una sube la otra baja; y si está cerca de 0 no hay relación lineal, aunque podría existir otro tipo de relación. No depende de las unidades en que estén medidas las variables, y al elevarlo al cuadrado se obtiene el coeficiente de determinación.</t>
  </si>
  <si>
    <t>Entre años de experiencia e infracciones, r = 0,77: relación positiva y fuerte. Entre velocidad y costo del accidente, r = 0,04: casi nula, es decir que en esta base ir más rápido no se asocia linealmente con un costo mayor.</t>
  </si>
  <si>
    <t>Evidencia del quiz</t>
  </si>
  <si>
    <t>Evidencia del quiz: insertar captura aquí</t>
  </si>
  <si>
    <t>Ejercicio 2: estadística descriptiva de la velocidad registrada</t>
  </si>
  <si>
    <t>Variable elegida: velocidad registrada (km/h), variable cuantitativa continua (columna E de la hoja DATOS, 400 registros).</t>
  </si>
  <si>
    <t>Tabla de frecuencia con datos agrupados: velocidad registrada (km/h)</t>
  </si>
  <si>
    <t>Número de datos (n)</t>
  </si>
  <si>
    <t>Valor mínimo</t>
  </si>
  <si>
    <t>Valor máximo</t>
  </si>
  <si>
    <t>Rango (R = máximo - mínimo)</t>
  </si>
  <si>
    <t>Número de intervalos (k, regla de Sturges)</t>
  </si>
  <si>
    <t>Amplitud teórica (R / k)</t>
  </si>
  <si>
    <t>Amplitud adoptada (A), redondeada hacia arriba</t>
  </si>
  <si>
    <t>Límite inferior del primer intervalo</t>
  </si>
  <si>
    <t>Intervalo</t>
  </si>
  <si>
    <t>Límite inferior (Li)</t>
  </si>
  <si>
    <t>Límite superior (Ls)</t>
  </si>
  <si>
    <t>Marca de clase (xi)</t>
  </si>
  <si>
    <t>fi</t>
  </si>
  <si>
    <t>Fi</t>
  </si>
  <si>
    <t>hi</t>
  </si>
  <si>
    <t>Hi</t>
  </si>
  <si>
    <t>hi (%)</t>
  </si>
  <si>
    <t>Hi (%)</t>
  </si>
  <si>
    <t>[32 - 43)</t>
  </si>
  <si>
    <t>[43 - 54)</t>
  </si>
  <si>
    <t>[54 - 65)</t>
  </si>
  <si>
    <t>[65 - 76)</t>
  </si>
  <si>
    <t>[76 - 87)</t>
  </si>
  <si>
    <t>[87 - 98)</t>
  </si>
  <si>
    <t>[98 - 109)</t>
  </si>
  <si>
    <t>[109 - 120)</t>
  </si>
  <si>
    <t>[120 - 131)</t>
  </si>
  <si>
    <t>[131 - 142]</t>
  </si>
  <si>
    <t>Total</t>
  </si>
  <si>
    <t>Los intervalos son cerrados a la izquierda y abiertos a la derecha, salvo el último, que incluye su límite superior.</t>
  </si>
  <si>
    <t>Auxiliar del polígono (clases vacías en los extremos)</t>
  </si>
  <si>
    <t>Marca xi</t>
  </si>
  <si>
    <t>Gráficos estadísticos y conclusiones</t>
  </si>
  <si>
    <t>Conclusión del histograma</t>
  </si>
  <si>
    <t>El intervalo con la barra más alta es [109 - 120) km/h, con 62 accidentes (15,5 %), y el de la barra más baja es [54 - 65) km/h, con solo 18 (4,5 %). Ese valle es un hueco entre dos intervalos vecinos que tienen 40 y 38 accidentes, así que la distribución no es simétrica ni tiene un único pico. Entre 87 y 120 km/h se concentran 160 accidentes (40,0 %), cuatro de cada diez. La base no trae el límite de velocidad de cada vía, por lo que esto muestra dónde se concentran los siniestros y no cuáles velocidades son excesivas.</t>
  </si>
  <si>
    <t>Conclusión del diagrama circular</t>
  </si>
  <si>
    <t>Cada porción es el porcentaje de accidentes de un intervalo de velocidad. La más grande es [109 - 120) con 15,5 % y la más pequeña es [54 - 65) con 4,5 %. Como ninguna porción pasa del 15,5 %, ninguna franja de velocidad domina sobre las demás. Los tres intervalos vecinos con más accidentes, de 87 a 120 km/h, suman el 40,0 %. Con diez porciones es difícil comparar tamaños a simple vista, por eso conviene apoyarse en el histograma.</t>
  </si>
  <si>
    <t>Conclusión del polígono de frecuencia</t>
  </si>
  <si>
    <t>El polígono une las marcas de clase y se cierra con dos intervalos vacíos, uno antes y otro después (marcas 26,5 y 147,5 km/h), por eso empieza y termina en 0. Arranca en 34 accidentes en la marca 37,5, cae a 18 en la marca 59,5 y desde ese valle sube, con una pequeña baja en 103,5, hasta el pico de 62 en 114,5 km/h. Después baja a 34 y 36. Como el punto medio del rango es 87 km/h y 230 accidentes (57,5 %) se registraron a esa velocidad o más, la distribución se inclina hacia las velocidades altas.</t>
  </si>
  <si>
    <t>Preguntas con base en la tabla de frecuencia</t>
  </si>
  <si>
    <t>1. ¿En cuál intervalo se observa la mayor cantidad de datos?</t>
  </si>
  <si>
    <t>Intervalo de mayor frecuencia</t>
  </si>
  <si>
    <t>Frecuencia absoluta máxima (fi)</t>
  </si>
  <si>
    <t>Porcentaje de los accidentes (hi %)</t>
  </si>
  <si>
    <t>El intervalo con más accidentes es [109 - 120) km/h, con 62 de los 400 registros (15,5 %). Es el intervalo modal de la tabla.</t>
  </si>
  <si>
    <t>2. ¿Hasta cuál intervalo se acumula el 60 % de los datos?</t>
  </si>
  <si>
    <t>Porcentaje acumulado buscado</t>
  </si>
  <si>
    <t>Intervalo donde se alcanza el 60 %</t>
  </si>
  <si>
    <t>Hi (%) del intervalo anterior</t>
  </si>
  <si>
    <t>Hi (%) del intervalo donde se alcanza</t>
  </si>
  <si>
    <t>Estimación dentro del intervalo (km/h)</t>
  </si>
  <si>
    <t>El 60 % se acumula en el intervalo [98 - 109) km/h. Hasta [87 - 98) el acumulado llega a 55,0 % (220 accidentes), todavía por debajo del 60 %, y al sumar los 48 accidentes de [98 - 109) pasa a 67,0 % (268 accidentes). Es decir que el 67 % de los accidentes ocurrió a menos de 109 km/h. Si suponemos que los datos se reparten de forma pareja dentro del intervalo, el 60 % se alcanza cerca de los 102,6 km/h.</t>
  </si>
  <si>
    <t>Medidas de tendencia central y de posición de la velocidad registrada (km/h)</t>
  </si>
  <si>
    <t>Medida</t>
  </si>
  <si>
    <t>Resultado</t>
  </si>
  <si>
    <t>Interpretación</t>
  </si>
  <si>
    <t>Fórmula de Excel</t>
  </si>
  <si>
    <t>Moda</t>
  </si>
  <si>
    <t>La velocidad que más se repite en los accidentes es 81,6 km/h, con 5 registros. Al ser una variable continua este valor pesa poco: el intervalo más frecuente de la tabla es [109 - 120) km/h.</t>
  </si>
  <si>
    <t>MODE.SNGL</t>
  </si>
  <si>
    <t>En promedio, el vehículo causante del accidente iba a 89,86 km/h.</t>
  </si>
  <si>
    <t>AVERAGE</t>
  </si>
  <si>
    <t>Mediana</t>
  </si>
  <si>
    <t>La mitad de los accidentes ocurrió a 94,05 km/h o menos y la otra mitad a más de 94,05 km/h. Queda por encima de la media (89,86), lo que apunta a una ligera cola hacia las velocidades bajas.</t>
  </si>
  <si>
    <t>MEDIAN</t>
  </si>
  <si>
    <t>Mínimo</t>
  </si>
  <si>
    <t>La velocidad más baja registrada en un accidente fue de 32,1 km/h.</t>
  </si>
  <si>
    <t>MIN</t>
  </si>
  <si>
    <t>Máximo</t>
  </si>
  <si>
    <t>La velocidad más alta registrada en un accidente fue de 140,8 km/h.</t>
  </si>
  <si>
    <t>MAX</t>
  </si>
  <si>
    <t>Rango</t>
  </si>
  <si>
    <t>Entre el accidente de menor velocidad y el de mayor velocidad hay 108,7 km/h de diferencia.</t>
  </si>
  <si>
    <t>Máximo - Mínimo</t>
  </si>
  <si>
    <t>Cuartil 1 (Q1)</t>
  </si>
  <si>
    <t>El 25 % de los accidentes ocurrió a velocidades entre 32,1 y 66,25 km/h.</t>
  </si>
  <si>
    <t>QUARTILE.INC(rango, 1)</t>
  </si>
  <si>
    <t>Decil 5 (D5)</t>
  </si>
  <si>
    <t>El decil 5 deja el 50 % de los accidentes a 94,05 km/h o menos, por eso coincide con la mediana.</t>
  </si>
  <si>
    <t>PERCENTILE.INC(rango, 0.5)</t>
  </si>
  <si>
    <t>Cuartil 3 (Q3)</t>
  </si>
  <si>
    <t>El 75 % de los accidentes ocurrió a velocidades entre 32,1 y 114,85 km/h, y solo el 25 % superó los 114,85 km/h.</t>
  </si>
  <si>
    <t>QUARTILE.INC(rango, 3)</t>
  </si>
  <si>
    <t>Percentil 10 (P10)</t>
  </si>
  <si>
    <t>El 10 % de los accidentes ocurrió a velocidades entre 32,1 y 44,03 km/h.</t>
  </si>
  <si>
    <t>PERCENTILE.INC(rango, 0.1)</t>
  </si>
  <si>
    <t>Percentil 80 (P80)</t>
  </si>
  <si>
    <t>El 80 % de los accidentes ocurrió a 117,98 km/h o menos, y el 20 % restante superó esa velocidad.</t>
  </si>
  <si>
    <t>PERCENTILE.INC(rango, 0.8)</t>
  </si>
  <si>
    <t>Dispersión, asimetría y curtosis de la velocidad registrada (km/h)</t>
  </si>
  <si>
    <t>Varianza muestral</t>
  </si>
  <si>
    <t>Es el promedio de los cuadrados de las distancias de cada velocidad a la media, y vale 923,52 (km/h)². Como está en unidades al cuadrado, se interpreta mejor con la desviación típica.</t>
  </si>
  <si>
    <t>VAR.S</t>
  </si>
  <si>
    <t>Desviación típica muestral</t>
  </si>
  <si>
    <t>Las velocidades se desvían típicamente unos 30,39 km/h de la media de 89,86 km/h.</t>
  </si>
  <si>
    <t>STDEV.S</t>
  </si>
  <si>
    <t>Coeficiente de variación (%)</t>
  </si>
  <si>
    <t>La desviación típica equivale al 33,82 % de la media. Es la medida que usamos para decidir si la distribución es homogénea.</t>
  </si>
  <si>
    <t>Desviación típica / Media x 100</t>
  </si>
  <si>
    <t>Asimetría</t>
  </si>
  <si>
    <t>Es -0,26: negativa y de tamaño pequeño. La cola es un poco más larga hacia las velocidades bajas, en línea con que la mediana (94,05) quede por encima de la media (89,86).</t>
  </si>
  <si>
    <t>SKEW</t>
  </si>
  <si>
    <t>Curtosis (exceso)</t>
  </si>
  <si>
    <t>Es -1,00, medida en exceso respecto a la distribución normal (que vale 0). Al ser negativa la distribución es platicúrtica, más aplanada que la normal.</t>
  </si>
  <si>
    <t>KURT</t>
  </si>
  <si>
    <t>Convención adoptada para interpretar</t>
  </si>
  <si>
    <t>Usamos la varianza y la desviación típica muestrales (VAR.S y STDEV.S) porque los 400 registros se toman como una muestra de la accidentalidad del Tolima. Para clasificar usamos convenciones de uso común en estadística descriptiva, que no proceden de las lecturas del curso: homogénea si el CV es menor que 30 %, casi simétrica si el valor absoluto de la asimetría es menor que 0,5, y platicúrtica si la curtosis en exceso es negativa. SKEW y KURT son las versiones de muestra que calcula Excel.</t>
  </si>
  <si>
    <t>Análisis de la distribución</t>
  </si>
  <si>
    <t>¿La distribución es homogénea o heterogénea?</t>
  </si>
  <si>
    <t>Es heterogénea. Con la convención adoptada (CV menor que 30 % es homogénea), el coeficiente de variación de 33,82 % la deja del lado heterogéneo, aunque cerca del límite. Las velocidades cambian de forma apreciable de un accidente a otro, y con otro umbral la etiqueta podría cambiar, por eso conviene dar el valor del CV junto con la conclusión.</t>
  </si>
  <si>
    <t>¿Qué tipo de concentración presentan los datos?</t>
  </si>
  <si>
    <t>La curtosis en exceso de -1,00 indica una distribución platicúrtica, es decir, con poca concentración de datos alrededor de la media. Las velocidades se extienden a lo largo del rango en vez de agruparse alrededor de un solo pico, algo que también se ve en el histograma: ningún intervalo pasa de 15,5 % de los accidentes.</t>
  </si>
  <si>
    <t>¿Qué tipo de asimetría presentan los datos?</t>
  </si>
  <si>
    <t>La asimetría de -0,26 es negativa. Con la convención adoptada (valor absoluto menor que 0,5 es casi simétrica), la distribución es casi simétrica, con una cola ligeramente más larga hacia las velocidades bajas. Esto coincide con que la media (89,86) sea algo menor que la mediana (94,05).</t>
  </si>
  <si>
    <t>Regresión lineal: años de experiencia (x) e histórico de infracciones (y)</t>
  </si>
  <si>
    <t>Variable independiente (x): años de experiencia del conductor. Variable dependiente (y): número de infracciones en los últimos cinco años.</t>
  </si>
  <si>
    <t>Datos de partida</t>
  </si>
  <si>
    <t>Número de pares de datos (n)</t>
  </si>
  <si>
    <t>Media de x (años de experiencia)</t>
  </si>
  <si>
    <t>Media de y (infracciones)</t>
  </si>
  <si>
    <t>Ecuación de regresión lineal (y = a + b x)</t>
  </si>
  <si>
    <t>Pendiente (b)</t>
  </si>
  <si>
    <t>Por cada año más de experiencia, el modelo asocia unas 0,77 infracciones adicionales en los últimos cinco años. Esto describe una asociación y no demuestra que la experiencia cause las infracciones.</t>
  </si>
  <si>
    <t>SLOPE(y, x)</t>
  </si>
  <si>
    <t>Intercepto (a)</t>
  </si>
  <si>
    <t>Es el valor que da la recta para un conductor con 0 años de experiencia: 1,73 infracciones. Ojo: los 53 conductores con 0 años tuvieron en promedio 1,06, así que la recta se aleja algo de los datos en ese extremo.</t>
  </si>
  <si>
    <t>INTERCEPT(y, x)</t>
  </si>
  <si>
    <t>Ecuación de la recta</t>
  </si>
  <si>
    <t>Es la recta de mínimos cuadrados: con ella se estima el número de infracciones a partir de los años de experiencia.</t>
  </si>
  <si>
    <t>"y = " &amp; a &amp; " + " &amp; b &amp; " x"</t>
  </si>
  <si>
    <t>Tipo de relación según la pendiente</t>
  </si>
  <si>
    <t>Positiva. La pendiente es mayor que cero y la nube de puntos sube de izquierda a derecha: a más años de experiencia, tienden a ser más las infracciones acumuladas. La fuerza de esa relación se mide con el coeficiente de determinación y con r.</t>
  </si>
  <si>
    <t>Signo de b</t>
  </si>
  <si>
    <t>Promedio observado de y con x = 0</t>
  </si>
  <si>
    <t>Se usa para comparar el intercepto de la recta con lo que ocurre realmente en los conductores sin experiencia.</t>
  </si>
  <si>
    <t>AVERAGEIF(x, 0, y)</t>
  </si>
  <si>
    <t>Diagrama de dispersión con la recta de regresión</t>
  </si>
  <si>
    <t>Lectura del diagrama</t>
  </si>
  <si>
    <t>Positiva. La pendiente es mayor que cero y la nube de puntos sube de izquierda a derecha: a más años de experiencia, tienden a ser más las infracciones acumuladas. La fuerza de esa relación se mide con el coeficiente de determinación y con r. Como las dos variables son números enteros, muchos conductores comparten la misma pareja de valores y sus puntos quedan uno encima de otro. Por eso se ven menos puntos que los 400 registros.</t>
  </si>
  <si>
    <t>Patrón de los datos</t>
  </si>
  <si>
    <t>Los datos no forman una nube pareja, sino tres tramos. Con 0 o 1 año de experiencia (118 conductores) las infracciones van de 0 a 2. Con 2 a 10 años (256) van de 2 a 8 y su promedio casi no cambia de un año a otro (entre 4,33 y 6,00). Con 11 años o más (26) van de 10 a 20. La recta resume ese escalón con una sola pendiente, así que sirve como aproximación general pero no describe bien cada tramo por separado.</t>
  </si>
  <si>
    <t>Coeficiente de determinación, confiabilidad y correlación de Pearson</t>
  </si>
  <si>
    <t>Coeficiente de determinación (R²)</t>
  </si>
  <si>
    <t>La recta explica el 59,66 % de la variación del número de infracciones a partir de los años de experiencia. El 40,34 % restante depende de otros factores o de variación que la recta no recoge.</t>
  </si>
  <si>
    <t>RSQ(y, x)</t>
  </si>
  <si>
    <t>Confiabilidad del modelo (%)</t>
  </si>
  <si>
    <t>Es el mismo R² expresado en porcentaje: 59,66 %. El modelo da una idea general de cuántas infracciones se esperan según la experiencia, pero deja sin explicar cerca del 40 % de la variación, así que sus predicciones son orientativas y no exactas.</t>
  </si>
  <si>
    <t>R² x 100</t>
  </si>
  <si>
    <t>Coeficiente de correlación de Pearson (r)</t>
  </si>
  <si>
    <t>Es 0,7724, un valor positivo: al aumentar los años de experiencia tienden a aumentar las infracciones. Elevado al cuadrado da 0,5966, que es el R².</t>
  </si>
  <si>
    <t>CORREL(y, x)</t>
  </si>
  <si>
    <t>Nivel de correlación lineal</t>
  </si>
  <si>
    <t>Regular según la escala adoptada (|r| entre 0,50 y 0,80). Como r = 0,77 está cerca del límite de 0,80 que separaría 'aceptable', conviene citar el valor de r junto con la etiqueta.</t>
  </si>
  <si>
    <t>IF anidado sobre |r|</t>
  </si>
  <si>
    <t>Escala adoptada para el nivel de correlación (|r|)</t>
  </si>
  <si>
    <t>Intervalo de |r|</t>
  </si>
  <si>
    <t>Nivel</t>
  </si>
  <si>
    <t>|r| = 1</t>
  </si>
  <si>
    <t>Perfecta</t>
  </si>
  <si>
    <t>0,90 a menos de 1</t>
  </si>
  <si>
    <t>Excelente</t>
  </si>
  <si>
    <t>0,80 a menos de 0,90</t>
  </si>
  <si>
    <t>Aceptable</t>
  </si>
  <si>
    <t>0,50 a menos de 0,80</t>
  </si>
  <si>
    <t>Regular</t>
  </si>
  <si>
    <t>Mayor que 0 y menor que 0,50</t>
  </si>
  <si>
    <t>Mínima</t>
  </si>
  <si>
    <t>|r| = 0</t>
  </si>
  <si>
    <t>Sin correlación</t>
  </si>
  <si>
    <t>Esta escala es una convención de uso común que adoptamos en este trabajo. No proviene de las lecturas del curso, y otras escalas usan límites distintos.</t>
  </si>
  <si>
    <t>Cómo leer estos resultados</t>
  </si>
  <si>
    <t>Estos valores resumen el ajuste global de la recta. El diagrama mostró tres tramos y, entre 2 y 10 años de experiencia, el promedio de infracciones casi no cambia (entre 4,33 y 6,00), así que un R² de 59,66 % no significa que las infracciones suban de forma continua con cada año. Además, una correlación, por alta que sea, no prueba que la experiencia cause las infracciones.</t>
  </si>
  <si>
    <t>Predicciones con la ecuación de regresión</t>
  </si>
  <si>
    <t>La ecuación es y = a + b x, con a y b tomados de las celdas de la pendiente y el intercepto. Las celdas amarillas se pueden cambiar.</t>
  </si>
  <si>
    <t>Predicción</t>
  </si>
  <si>
    <t>Experiencia x (años)</t>
  </si>
  <si>
    <t>Infracciones estimadas ŷ</t>
  </si>
  <si>
    <t>Promedio observado con ese x</t>
  </si>
  <si>
    <t>Conductores con ese x</t>
  </si>
  <si>
    <t>¿x dentro del rango observado?</t>
  </si>
  <si>
    <t>Predicción 1</t>
  </si>
  <si>
    <t>Para un conductor con 1 año de experiencia, el modelo estima 2,50 infracciones en los últimos cinco años. Los 65 conductores con 1 año tuvieron en promedio 0,51; la estimación queda por encima de lo observado y la recta sobreestima en este tramo.</t>
  </si>
  <si>
    <t>Predicción 2</t>
  </si>
  <si>
    <t>Para un conductor con 5 años de experiencia, el modelo estima 5,59 infracciones en los últimos cinco años. Los 16 conductores con 5 años tuvieron en promedio 5,38; la estimación coincide bien con lo observado.</t>
  </si>
  <si>
    <t>Predicción 3</t>
  </si>
  <si>
    <t>Para un conductor con 12 años de experiencia, el modelo estima 11,00 infracciones en los últimos cinco años. Los 8 conductores con 12 años tuvieron en promedio 15,50; la estimación queda por debajo de lo observado y la recta subestima en este tramo.</t>
  </si>
  <si>
    <t>Error típico de la estimación (STEYX)</t>
  </si>
  <si>
    <t>Cómo usar las predicciones</t>
  </si>
  <si>
    <t>Las tres predicciones usan valores dentro del rango observado (0 a 30 años), que es donde la ecuación puede usarse. El error típico de la estimación es de 2,52 infracciones, así que cada predicción debe leerse con un margen de ese orden. Por el patrón de tres tramos visto en el diagrama, la recta funciona mejor en el tramo intermedio (2 a 10 años) que en los extremos.</t>
  </si>
  <si>
    <t>Conclusiones</t>
  </si>
  <si>
    <t>Ejercicio 1</t>
  </si>
  <si>
    <t>Las seis definiciones quedaron ilustradas con cifras de la base, lo que permitió ver cada concepto aplicado. Por ejemplo, 185 de los 400 accidentes ocurrieron en Ibagué, es decir el 46,25 %, y las velocidades tienen una desviación típica de 30,39 km/h alrededor de una media de 89,86 km/h. El resultado del quiz de la plataforma se adjunta como evidencia en la hoja del ejercicio 1.</t>
  </si>
  <si>
    <t>Ejercicio 2</t>
  </si>
  <si>
    <t>La velocidad registrada tiene una media de 89,86 km/h, una mediana de 94,05 km/h y valores entre 32,1 y 140,8 km/h. El intervalo con más accidentes es [109 - 120) km/h, con 62 registros (15,5 %), y el 60 % de los accidentes se acumula hasta el intervalo [98 - 109) km/h. La mitad central de los accidentes ocurrió entre 66,25 y 114,85 km/h, y el 20 % más rápido superó los 117,98 km/h. Con un coeficiente de variación de 33,82 % la distribución es heterogénea según la convención adoptada, y con una asimetría de -0,26 y una curtosis de -1,00 resulta casi simétrica y platicúrtica: las velocidades se extienden por todo el rango sin concentrarse alrededor de un valor.</t>
  </si>
  <si>
    <t>Ejercicio 3</t>
  </si>
  <si>
    <t>La recta de regresión entre los años de experiencia (x) y las infracciones (y) es y = 1,7278 + 0,7723 x, con una relación positiva. El coeficiente de determinación es 0,5966 (59,66 %) y el coeficiente de correlación de Pearson es 0,7724, un nivel regular de correlación lineal según la escala adoptada, cerca del límite con el nivel aceptable. El diagrama de dispersión muestra tres tramos de experiencia, por lo que la recta sirve como aproximación general: con 5 años estima 5,59 infracciones y el promedio observado es 5,38, pero con 12 años estima 11,00 frente a 15,50 observadas. El error típico de la estimación es de 2,52 infracciones, así que las predicciones son orientativas.</t>
  </si>
  <si>
    <t>Conclusión general</t>
  </si>
  <si>
    <t>En esta base la velocidad se reparte a lo largo de un rango amplio, con el 45 % de los accidentes a 98 km/h o más, y los conductores con más años de licencia tienden a acumular más infracciones. Estos resultados describen los datos y no explican causas: la base no trae el límite de velocidad de cada vía, y una correlación no prueba que una variable produzca la otra. Los umbrales de homogeneidad, asimetría y correlación son convenciones que adoptamos y se declaran donde se usan.</t>
  </si>
  <si>
    <t>Bibliografía</t>
  </si>
  <si>
    <r>
      <t xml:space="preserve">Romero Ramos, E. (2016). </t>
    </r>
    <r>
      <rPr>
        <i/>
        <sz val="11"/>
        <color theme="1"/>
        <rFont val="Calibri"/>
        <family val="2"/>
        <scheme val="minor"/>
      </rPr>
      <t>Estadística para todos: análisis de datos: estadística descriptiva, teoría de la probabilidad e inferencia</t>
    </r>
    <r>
      <rPr>
        <sz val="11"/>
        <color theme="1"/>
        <rFont val="Calibri"/>
        <family val="2"/>
        <scheme val="minor"/>
      </rPr>
      <t>. Difusora Larousse - Ediciones Pirámide. https://elibro.unicartagenaproxy.elogim.com/es/lc/unicartagena/titulos/49136</t>
    </r>
  </si>
  <si>
    <r>
      <t xml:space="preserve">Salazar Guerrero, L. J. (2018). </t>
    </r>
    <r>
      <rPr>
        <i/>
        <sz val="11"/>
        <color theme="1"/>
        <rFont val="Calibri"/>
        <family val="2"/>
        <scheme val="minor"/>
      </rPr>
      <t>Probabilidad y estadística: para bachilleratos tecnológicos</t>
    </r>
    <r>
      <rPr>
        <sz val="11"/>
        <color theme="1"/>
        <rFont val="Calibri"/>
        <family val="2"/>
        <scheme val="minor"/>
      </rPr>
      <t>. Grupo Editorial Patria. https://elibro.unicartagenaproxy.elogim.com/es/lc/unicartagena/titulos/40531</t>
    </r>
  </si>
  <si>
    <t>Anexos</t>
  </si>
  <si>
    <t>Anexo A. Hoja de datos</t>
  </si>
  <si>
    <t>Copia exacta, sin modificar ningún valor, de la hoja DATOS del Anexo 1: 400 registros y 9 columnas. Es la hoja a la que apuntan todas las fórmulas del libro.</t>
  </si>
  <si>
    <t>La base contiene 13 parejas de registros idénticos en las nueve columnas. Están en las filas 213 y 313, 214 y 314, 220 y 320, 221 y 321, 227 y 327, 237 y 337, 240 y 340, 241 y 341, 246 y 346, 269 y 369, 285 y 385, 300 y 400, 301 y 401 de la hoja (numeración de Excel, con el encabezado en la fila 1). Cada pareja está separada exactamente por 100 filas. Se conservaron todos los registros.</t>
  </si>
  <si>
    <t>Anexo B. Verificación de los cálculos</t>
  </si>
  <si>
    <t>Se compararon 141 valores del libro con cálculos independientes hechos en Python (numpy y scipy) a partir de los datos originales, y con el recálculo de las fórmulas de Excel en LibreOffice. Todos coincidieron, con una diferencia absoluta máxima de 5,7e-13. La tabla lista cada comparación.</t>
  </si>
  <si>
    <t>Las tablas, los gráficos y las fórmulas del libro se generaron con un programa en Python (biblioteca xlsxwriter) que escribe fórmulas nativas de Excel.</t>
  </si>
  <si>
    <t>Ejercicio</t>
  </si>
  <si>
    <t>Bloque</t>
  </si>
  <si>
    <t>Valor en Excel (recalculado)</t>
  </si>
  <si>
    <t>Valor en Python</t>
  </si>
  <si>
    <t>Diferencia</t>
  </si>
  <si>
    <t>Tabla de frecuencia</t>
  </si>
  <si>
    <t>Tabla, intervalo 1: Li</t>
  </si>
  <si>
    <t>Coincide</t>
  </si>
  <si>
    <t>Tabla, intervalo 2: Li</t>
  </si>
  <si>
    <t>Tabla, intervalo 3: Li</t>
  </si>
  <si>
    <t>Tabla, intervalo 4: Li</t>
  </si>
  <si>
    <t>Tabla, intervalo 5: Li</t>
  </si>
  <si>
    <t>Tabla, intervalo 6: Li</t>
  </si>
  <si>
    <t>Tabla, intervalo 7: Li</t>
  </si>
  <si>
    <t>Tabla, intervalo 8: Li</t>
  </si>
  <si>
    <t>Tabla, intervalo 9: Li</t>
  </si>
  <si>
    <t>Tabla, intervalo 10: Li</t>
  </si>
  <si>
    <t>Tabla, intervalo 1: Ls</t>
  </si>
  <si>
    <t>Tabla, intervalo 2: Ls</t>
  </si>
  <si>
    <t>Tabla, intervalo 3: Ls</t>
  </si>
  <si>
    <t>Tabla, intervalo 4: Ls</t>
  </si>
  <si>
    <t>Tabla, intervalo 5: Ls</t>
  </si>
  <si>
    <t>Tabla, intervalo 6: Ls</t>
  </si>
  <si>
    <t>Tabla, intervalo 7: Ls</t>
  </si>
  <si>
    <t>Tabla, intervalo 8: Ls</t>
  </si>
  <si>
    <t>Tabla, intervalo 9: Ls</t>
  </si>
  <si>
    <t>Tabla, intervalo 10: Ls</t>
  </si>
  <si>
    <t>Tabla, intervalo 1: xi</t>
  </si>
  <si>
    <t>Tabla, intervalo 2: xi</t>
  </si>
  <si>
    <t>Tabla, intervalo 3: xi</t>
  </si>
  <si>
    <t>Tabla, intervalo 4: xi</t>
  </si>
  <si>
    <t>Tabla, intervalo 5: xi</t>
  </si>
  <si>
    <t>Tabla, intervalo 6: xi</t>
  </si>
  <si>
    <t>Tabla, intervalo 7: xi</t>
  </si>
  <si>
    <t>Tabla, intervalo 8: xi</t>
  </si>
  <si>
    <t>Tabla, intervalo 9: xi</t>
  </si>
  <si>
    <t>Tabla, intervalo 10: xi</t>
  </si>
  <si>
    <t>Tabla, intervalo 1: fi</t>
  </si>
  <si>
    <t>Tabla, intervalo 2: fi</t>
  </si>
  <si>
    <t>Tabla, intervalo 3: fi</t>
  </si>
  <si>
    <t>Tabla, intervalo 4: fi</t>
  </si>
  <si>
    <t>Tabla, intervalo 5: fi</t>
  </si>
  <si>
    <t>Tabla, intervalo 6: fi</t>
  </si>
  <si>
    <t>Tabla, intervalo 7: fi</t>
  </si>
  <si>
    <t>Tabla, intervalo 8: fi</t>
  </si>
  <si>
    <t>Tabla, intervalo 9: fi</t>
  </si>
  <si>
    <t>Tabla, intervalo 10: fi</t>
  </si>
  <si>
    <t>Tabla, intervalo 1: Fi</t>
  </si>
  <si>
    <t>Tabla, intervalo 2: Fi</t>
  </si>
  <si>
    <t>Tabla, intervalo 3: Fi</t>
  </si>
  <si>
    <t>Tabla, intervalo 4: Fi</t>
  </si>
  <si>
    <t>Tabla, intervalo 5: Fi</t>
  </si>
  <si>
    <t>Tabla, intervalo 6: Fi</t>
  </si>
  <si>
    <t>Tabla, intervalo 7: Fi</t>
  </si>
  <si>
    <t>Tabla, intervalo 8: Fi</t>
  </si>
  <si>
    <t>Tabla, intervalo 9: Fi</t>
  </si>
  <si>
    <t>Tabla, intervalo 10: Fi</t>
  </si>
  <si>
    <t>Tabla, intervalo 1: hi</t>
  </si>
  <si>
    <t>Tabla, intervalo 2: hi</t>
  </si>
  <si>
    <t>Tabla, intervalo 3: hi</t>
  </si>
  <si>
    <t>Tabla, intervalo 4: hi</t>
  </si>
  <si>
    <t>Tabla, intervalo 5: hi</t>
  </si>
  <si>
    <t>Tabla, intervalo 6: hi</t>
  </si>
  <si>
    <t>Tabla, intervalo 7: hi</t>
  </si>
  <si>
    <t>Tabla, intervalo 8: hi</t>
  </si>
  <si>
    <t>Tabla, intervalo 9: hi</t>
  </si>
  <si>
    <t>Tabla, intervalo 10: hi</t>
  </si>
  <si>
    <t>Tabla, intervalo 1: Hi</t>
  </si>
  <si>
    <t>Tabla, intervalo 2: Hi</t>
  </si>
  <si>
    <t>Tabla, intervalo 3: Hi</t>
  </si>
  <si>
    <t>Tabla, intervalo 4: Hi</t>
  </si>
  <si>
    <t>Tabla, intervalo 5: Hi</t>
  </si>
  <si>
    <t>Tabla, intervalo 6: Hi</t>
  </si>
  <si>
    <t>Tabla, intervalo 7: Hi</t>
  </si>
  <si>
    <t>Tabla, intervalo 8: Hi</t>
  </si>
  <si>
    <t>Tabla, intervalo 9: Hi</t>
  </si>
  <si>
    <t>Tabla, intervalo 10: Hi</t>
  </si>
  <si>
    <t>Tabla, intervalo 1: hi %</t>
  </si>
  <si>
    <t>Tabla, intervalo 2: hi %</t>
  </si>
  <si>
    <t>Tabla, intervalo 3: hi %</t>
  </si>
  <si>
    <t>Tabla, intervalo 4: hi %</t>
  </si>
  <si>
    <t>Tabla, intervalo 5: hi %</t>
  </si>
  <si>
    <t>Tabla, intervalo 6: hi %</t>
  </si>
  <si>
    <t>Tabla, intervalo 7: hi %</t>
  </si>
  <si>
    <t>Tabla, intervalo 8: hi %</t>
  </si>
  <si>
    <t>Tabla, intervalo 9: hi %</t>
  </si>
  <si>
    <t>Tabla, intervalo 10: hi %</t>
  </si>
  <si>
    <t>Tabla, intervalo 1: Hi %</t>
  </si>
  <si>
    <t>Tabla, intervalo 2: Hi %</t>
  </si>
  <si>
    <t>Tabla, intervalo 3: Hi %</t>
  </si>
  <si>
    <t>Tabla, intervalo 4: Hi %</t>
  </si>
  <si>
    <t>Tabla, intervalo 5: Hi %</t>
  </si>
  <si>
    <t>Tabla, intervalo 6: Hi %</t>
  </si>
  <si>
    <t>Tabla, intervalo 7: Hi %</t>
  </si>
  <si>
    <t>Tabla, intervalo 8: Hi %</t>
  </si>
  <si>
    <t>Tabla, intervalo 9: Hi %</t>
  </si>
  <si>
    <t>Tabla, intervalo 10: Hi %</t>
  </si>
  <si>
    <t>Parámetros de la tabla</t>
  </si>
  <si>
    <t>Parámetro n</t>
  </si>
  <si>
    <t>Parámetro mín</t>
  </si>
  <si>
    <t>Parámetro máx</t>
  </si>
  <si>
    <t>Parámetro R</t>
  </si>
  <si>
    <t>Parámetro k</t>
  </si>
  <si>
    <t>Parámetro R/k</t>
  </si>
  <si>
    <t>Preguntas</t>
  </si>
  <si>
    <t>Tendencia central y posición</t>
  </si>
  <si>
    <t>Dispersión, asimetría y curtosis</t>
  </si>
  <si>
    <t>Ecuación</t>
  </si>
  <si>
    <t>y = 1.7278 + 0.7723 x</t>
  </si>
  <si>
    <t>Tipo de relación</t>
  </si>
  <si>
    <t>Positiva</t>
  </si>
  <si>
    <t>Promedio con x = 0</t>
  </si>
  <si>
    <t>R², r y nivel</t>
  </si>
  <si>
    <t>Predicciones</t>
  </si>
  <si>
    <t>Predicción 1: ŷ</t>
  </si>
  <si>
    <t>Predicción 1: promedio observado</t>
  </si>
  <si>
    <t>Predicción 1: conductores</t>
  </si>
  <si>
    <t>Predicción 1: dentro del rango</t>
  </si>
  <si>
    <t>Sí</t>
  </si>
  <si>
    <t>Predicción 2: ŷ</t>
  </si>
  <si>
    <t>Predicción 2: promedio observado</t>
  </si>
  <si>
    <t>Predicción 2: conductores</t>
  </si>
  <si>
    <t>Predicción 2: dentro del rango</t>
  </si>
  <si>
    <t>Predicción 3: ŷ</t>
  </si>
  <si>
    <t>Predicción 3: promedio observado</t>
  </si>
  <si>
    <t>Predicción 3: conductores</t>
  </si>
  <si>
    <t>Predicción 3: dentro del rango</t>
  </si>
  <si>
    <t>Error típico de la estimación</t>
  </si>
  <si>
    <t>Anexo C. Variables elegidas en el foro</t>
  </si>
  <si>
    <t>Nombre</t>
  </si>
  <si>
    <t>Variable del ejercicio 2</t>
  </si>
  <si>
    <t>Variables del ejercicio 3</t>
  </si>
  <si>
    <t>Velocidad registrada</t>
  </si>
  <si>
    <t>Años de experiencia del conductor (x) e histórico de infracciones (y)</t>
  </si>
  <si>
    <t>PENDIENTE: Jairo debe confirmar que esta combinación es la que publicó en el foro y no chocó con la de sus compañeros.</t>
  </si>
  <si>
    <t>Anexo D. Convenciones adoptadas</t>
  </si>
  <si>
    <t>Estas convenciones son de uso común en estadística descriptiva y no proceden de las lecturas del curso.</t>
  </si>
  <si>
    <t>Varianza y desviación típica muestrales (VAR.S y STDEV.S), porque los 400 registros se toman como una muestra de la accidentalidad del Tolima.</t>
  </si>
  <si>
    <t>Homogeneidad: la distribución es homogénea si el coeficiente de variación es menor que 30 % y heterogénea en caso contrario.</t>
  </si>
  <si>
    <t>Asimetría: casi simétrica si su valor absoluto es menor que 0,5. Curtosis: platicúrtica si el exceso de curtosis es negativo.</t>
  </si>
  <si>
    <t>Nivel de correlación según |r|: perfecta si vale 1, excelente de 0,90 a menos de 1, aceptable de 0,80 a menos de 0,90, regular de 0,50 a menos de 0,80, mínima por debajo de 0,50 y sin correlación si vale 0.</t>
  </si>
  <si>
    <t>MUNICIPIO DEL SINIESTRO</t>
  </si>
  <si>
    <t>EDAD CONDUCTOR</t>
  </si>
  <si>
    <t>NÚMERO DE PERSONAS FALLECIDAS</t>
  </si>
  <si>
    <t>NÚMERO DE PERSONAS HERIDAS</t>
  </si>
  <si>
    <t>VELOCIDAD REGISTRADA (km/H)</t>
  </si>
  <si>
    <t>COSTO ACCIDENTE (MILLONES DE PESOS)</t>
  </si>
  <si>
    <t>NIVEL EDUCATIVO DEL CONDUCTOR</t>
  </si>
  <si>
    <t>AÑOS DE EXPERIENCIA DEL CONDUCTOR</t>
  </si>
  <si>
    <t>HISTÓRICO DE INFRACCIONES</t>
  </si>
  <si>
    <t>Melgar</t>
  </si>
  <si>
    <t>Superior</t>
  </si>
  <si>
    <t>Ibagué</t>
  </si>
  <si>
    <t>Bachiller</t>
  </si>
  <si>
    <t>Espinal</t>
  </si>
</sst>
</file>

<file path=xl/styles.xml><?xml version="1.0" encoding="utf-8"?>
<styleSheet xmlns="http://schemas.openxmlformats.org/spreadsheetml/2006/main">
  <numFmts count="6">
    <numFmt numFmtId="164" formatCode="0.0"/>
    <numFmt numFmtId="165" formatCode="0.00"/>
    <numFmt numFmtId="166" formatCode="0.0000"/>
    <numFmt numFmtId="167" formatCode="0%"/>
    <numFmt numFmtId="168" formatCode="0.000000"/>
    <numFmt numFmtId="169" formatCode="0.0E+00"/>
  </numFmts>
  <fonts count="11">
    <font>
      <sz val="11"/>
      <color theme="1"/>
      <name val="Calibri"/>
      <family val="2"/>
      <scheme val="minor"/>
    </font>
    <font>
      <b/>
      <sz val="20"/>
      <color rgb="FF1F3864"/>
      <name val="Calibri"/>
      <family val="2"/>
      <scheme val="minor"/>
    </font>
    <font>
      <sz val="12"/>
      <color rgb="FF595959"/>
      <name val="Calibri"/>
      <family val="2"/>
      <scheme val="minor"/>
    </font>
    <font>
      <b/>
      <sz val="12"/>
      <color theme="1"/>
      <name val="Calibri"/>
      <family val="2"/>
      <scheme val="minor"/>
    </font>
    <font>
      <sz val="12"/>
      <color theme="1"/>
      <name val="Calibri"/>
      <family val="2"/>
      <scheme val="minor"/>
    </font>
    <font>
      <b/>
      <sz val="16"/>
      <color rgb="FF1F3864"/>
      <name val="Calibri"/>
      <family val="2"/>
      <scheme val="minor"/>
    </font>
    <font>
      <b/>
      <sz val="12"/>
      <color rgb="FF1F3864"/>
      <name val="Calibri"/>
      <family val="2"/>
      <scheme val="minor"/>
    </font>
    <font>
      <b/>
      <sz val="11"/>
      <color theme="1"/>
      <name val="Calibri"/>
      <family val="2"/>
      <scheme val="minor"/>
    </font>
    <font>
      <i/>
      <sz val="12"/>
      <color rgb="FF7F7F7F"/>
      <name val="Calibri"/>
      <family val="2"/>
      <scheme val="minor"/>
    </font>
    <font>
      <b/>
      <sz val="13"/>
      <color theme="1"/>
      <name val="Calibri"/>
      <family val="2"/>
      <scheme val="minor"/>
    </font>
    <font>
      <sz val="9"/>
      <color rgb="FF595959"/>
      <name val="Calibri"/>
      <family val="2"/>
      <scheme val="minor"/>
    </font>
  </fonts>
  <fills count="5">
    <fill>
      <patternFill patternType="none"/>
    </fill>
    <fill>
      <patternFill patternType="gray125"/>
    </fill>
    <fill>
      <patternFill patternType="solid">
        <fgColor rgb="FFFFF2CC"/>
        <bgColor indexed="64"/>
      </patternFill>
    </fill>
    <fill>
      <patternFill patternType="solid">
        <fgColor rgb="FFD9E2F3"/>
        <bgColor indexed="64"/>
      </patternFill>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7F7F7F"/>
      </left>
      <right style="medium">
        <color rgb="FF7F7F7F"/>
      </right>
      <top style="medium">
        <color rgb="FF7F7F7F"/>
      </top>
      <bottom style="medium">
        <color rgb="FF7F7F7F"/>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3" fillId="2" borderId="0" xfId="0" applyFont="1" applyFill="1" applyAlignment="1">
      <alignment vertical="top"/>
    </xf>
    <xf numFmtId="0" fontId="5" fillId="0" borderId="0" xfId="0" applyFont="1"/>
    <xf numFmtId="0" fontId="0" fillId="0" borderId="0" xfId="0" applyAlignment="1">
      <alignment vertical="top" wrapText="1"/>
    </xf>
    <xf numFmtId="0" fontId="6" fillId="0" borderId="0" xfId="0" applyFont="1"/>
    <xf numFmtId="0" fontId="0" fillId="0" borderId="0" xfId="0" applyAlignment="1">
      <alignment vertical="top" indent="1" wrapText="1"/>
    </xf>
    <xf numFmtId="0" fontId="7" fillId="3" borderId="1" xfId="0" applyFont="1" applyFill="1" applyBorder="1" applyAlignment="1">
      <alignment horizontal="center" vertical="center" wrapText="1"/>
    </xf>
    <xf numFmtId="0" fontId="7" fillId="0" borderId="1" xfId="0" applyFont="1" applyBorder="1" applyAlignment="1">
      <alignment vertical="top" wrapText="1"/>
    </xf>
    <xf numFmtId="0" fontId="0" fillId="0" borderId="1" xfId="0" applyBorder="1" applyAlignment="1">
      <alignment vertical="top" wrapText="1"/>
    </xf>
    <xf numFmtId="0" fontId="8" fillId="4" borderId="2" xfId="0" applyFont="1" applyFill="1" applyBorder="1" applyAlignment="1">
      <alignment horizontal="center" vertical="center"/>
    </xf>
    <xf numFmtId="0" fontId="9" fillId="0" borderId="0" xfId="0" applyFont="1"/>
    <xf numFmtId="0" fontId="7" fillId="0" borderId="0" xfId="0" applyFont="1"/>
    <xf numFmtId="1" fontId="0" fillId="0" borderId="1" xfId="0" applyNumberFormat="1" applyBorder="1"/>
    <xf numFmtId="164" fontId="0" fillId="0" borderId="1" xfId="0" applyNumberFormat="1" applyBorder="1"/>
    <xf numFmtId="165" fontId="0" fillId="0" borderId="1" xfId="0" applyNumberFormat="1" applyBorder="1"/>
    <xf numFmtId="0" fontId="0" fillId="2" borderId="1" xfId="0" applyFill="1" applyBorder="1"/>
    <xf numFmtId="0" fontId="7" fillId="3" borderId="1" xfId="0" applyFont="1" applyFill="1" applyBorder="1" applyAlignment="1">
      <alignment horizontal="center" wrapText="1"/>
    </xf>
    <xf numFmtId="0" fontId="0" fillId="0" borderId="1" xfId="0" applyBorder="1" applyAlignment="1">
      <alignment horizontal="center"/>
    </xf>
    <xf numFmtId="166" fontId="0" fillId="0" borderId="1" xfId="0" applyNumberFormat="1" applyBorder="1"/>
    <xf numFmtId="0" fontId="7" fillId="0" borderId="1" xfId="0" applyFont="1" applyBorder="1"/>
    <xf numFmtId="1" fontId="7" fillId="0" borderId="1" xfId="0" applyNumberFormat="1" applyFont="1" applyBorder="1"/>
    <xf numFmtId="166" fontId="7" fillId="0" borderId="1" xfId="0" applyNumberFormat="1" applyFont="1" applyBorder="1"/>
    <xf numFmtId="165" fontId="7" fillId="0" borderId="1" xfId="0" applyNumberFormat="1" applyFont="1" applyBorder="1"/>
    <xf numFmtId="0" fontId="0" fillId="0" borderId="1" xfId="0" applyBorder="1" applyAlignment="1">
      <alignment horizontal="right"/>
    </xf>
    <xf numFmtId="167" fontId="0" fillId="2" borderId="1" xfId="0" applyNumberFormat="1" applyFill="1" applyBorder="1"/>
    <xf numFmtId="0" fontId="7" fillId="3" borderId="1" xfId="0" applyFont="1" applyFill="1" applyBorder="1" applyAlignment="1">
      <alignment horizontal="center" vertical="center"/>
    </xf>
    <xf numFmtId="0" fontId="7" fillId="0" borderId="1" xfId="0" applyFont="1" applyBorder="1" applyAlignment="1">
      <alignment vertical="center"/>
    </xf>
    <xf numFmtId="165" fontId="0" fillId="0" borderId="1" xfId="0" applyNumberFormat="1" applyBorder="1" applyAlignment="1">
      <alignment vertical="center"/>
    </xf>
    <xf numFmtId="0" fontId="0" fillId="0" borderId="1" xfId="0" applyBorder="1" applyAlignment="1">
      <alignment vertical="center" wrapText="1"/>
    </xf>
    <xf numFmtId="0" fontId="10" fillId="0" borderId="1" xfId="0" applyFont="1" applyBorder="1" applyAlignment="1">
      <alignment vertical="center" wrapText="1"/>
    </xf>
    <xf numFmtId="0" fontId="7" fillId="0" borderId="1" xfId="0" applyFont="1" applyBorder="1" applyAlignment="1">
      <alignment vertical="center" wrapText="1"/>
    </xf>
    <xf numFmtId="166" fontId="0" fillId="0" borderId="1" xfId="0" applyNumberFormat="1" applyBorder="1" applyAlignment="1">
      <alignment vertical="center"/>
    </xf>
    <xf numFmtId="1" fontId="0" fillId="0" borderId="1" xfId="0" applyNumberFormat="1" applyBorder="1" applyAlignment="1">
      <alignment vertical="center"/>
    </xf>
    <xf numFmtId="0" fontId="7" fillId="0" borderId="1" xfId="0" applyFont="1" applyBorder="1" applyAlignment="1">
      <alignment horizontal="right" vertical="center"/>
    </xf>
    <xf numFmtId="1" fontId="0" fillId="2" borderId="1" xfId="0" applyNumberFormat="1" applyFill="1" applyBorder="1" applyAlignment="1">
      <alignment vertical="center"/>
    </xf>
    <xf numFmtId="0" fontId="0" fillId="0" borderId="1" xfId="0" applyBorder="1" applyAlignment="1">
      <alignment horizontal="center" vertical="center"/>
    </xf>
    <xf numFmtId="168" fontId="0" fillId="0" borderId="1" xfId="0" applyNumberFormat="1" applyBorder="1" applyAlignment="1">
      <alignment vertical="top"/>
    </xf>
    <xf numFmtId="169" fontId="0" fillId="0" borderId="1" xfId="0" applyNumberFormat="1" applyBorder="1" applyAlignment="1">
      <alignment vertical="top"/>
    </xf>
    <xf numFmtId="0" fontId="0" fillId="0" borderId="1" xfId="0" applyBorder="1" applyAlignment="1">
      <alignment horizontal="center" vertical="top"/>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Histograma de la velocidad registrada en los accidentes</a:t>
            </a:r>
          </a:p>
        </c:rich>
      </c:tx>
      <c:layout/>
    </c:title>
    <c:plotArea>
      <c:layout/>
      <c:barChart>
        <c:barDir val="col"/>
        <c:grouping val="clustered"/>
        <c:ser>
          <c:idx val="0"/>
          <c:order val="0"/>
          <c:tx>
            <c:v>Frecuencia absoluta (fi)</c:v>
          </c:tx>
          <c:spPr>
            <a:solidFill>
              <a:srgbClr val="2F5597"/>
            </a:solidFill>
            <a:ln w="12700">
              <a:solidFill>
                <a:srgbClr val="FFFFFF"/>
              </a:solidFill>
            </a:ln>
          </c:spPr>
          <c:dLbls>
            <c:showVal val="1"/>
          </c:dLbls>
          <c:cat>
            <c:strRef>
              <c:f>'Ejercicio 2'!$A$16:$A$25</c:f>
              <c:strCache>
                <c:ptCount val="10"/>
                <c:pt idx="0">
                  <c:v>[32 - 43)</c:v>
                </c:pt>
                <c:pt idx="1">
                  <c:v>[43 - 54)</c:v>
                </c:pt>
                <c:pt idx="2">
                  <c:v>[54 - 65)</c:v>
                </c:pt>
                <c:pt idx="3">
                  <c:v>[65 - 76)</c:v>
                </c:pt>
                <c:pt idx="4">
                  <c:v>[76 - 87)</c:v>
                </c:pt>
                <c:pt idx="5">
                  <c:v>[87 - 98)</c:v>
                </c:pt>
                <c:pt idx="6">
                  <c:v>[98 - 109)</c:v>
                </c:pt>
                <c:pt idx="7">
                  <c:v>[109 - 120)</c:v>
                </c:pt>
                <c:pt idx="8">
                  <c:v>[120 - 131)</c:v>
                </c:pt>
                <c:pt idx="9">
                  <c:v>[131 - 142]</c:v>
                </c:pt>
              </c:strCache>
            </c:strRef>
          </c:cat>
          <c:val>
            <c:numRef>
              <c:f>'Ejercicio 2'!$E$16:$E$25</c:f>
              <c:numCache>
                <c:formatCode>General</c:formatCode>
                <c:ptCount val="10"/>
                <c:pt idx="0">
                  <c:v>34</c:v>
                </c:pt>
                <c:pt idx="1">
                  <c:v>40</c:v>
                </c:pt>
                <c:pt idx="2">
                  <c:v>18</c:v>
                </c:pt>
                <c:pt idx="3">
                  <c:v>38</c:v>
                </c:pt>
                <c:pt idx="4">
                  <c:v>40</c:v>
                </c:pt>
                <c:pt idx="5">
                  <c:v>50</c:v>
                </c:pt>
                <c:pt idx="6">
                  <c:v>48</c:v>
                </c:pt>
                <c:pt idx="7">
                  <c:v>62</c:v>
                </c:pt>
                <c:pt idx="8">
                  <c:v>34</c:v>
                </c:pt>
                <c:pt idx="9">
                  <c:v>36</c:v>
                </c:pt>
              </c:numCache>
            </c:numRef>
          </c:val>
        </c:ser>
        <c:gapWidth val="0"/>
        <c:axId val="50010001"/>
        <c:axId val="50010002"/>
      </c:barChart>
      <c:catAx>
        <c:axId val="50010001"/>
        <c:scaling>
          <c:orientation val="minMax"/>
        </c:scaling>
        <c:axPos val="b"/>
        <c:title>
          <c:tx>
            <c:rich>
              <a:bodyPr/>
              <a:lstStyle/>
              <a:p>
                <a:pPr>
                  <a:defRPr/>
                </a:pPr>
                <a:r>
                  <a:rPr lang="en-US"/>
                  <a:t>Velocidad registrada (km/h)</a:t>
                </a:r>
              </a:p>
            </c:rich>
          </c:tx>
          <c:layout/>
        </c:title>
        <c:tickLblPos val="nextTo"/>
        <c:txPr>
          <a:bodyPr rot="-2700000" vert="horz"/>
          <a:lstStyle/>
          <a:p>
            <a:pPr>
              <a:defRPr baseline="0"/>
            </a:pPr>
            <a:endParaRPr lang="en-US"/>
          </a:p>
        </c:txPr>
        <c:crossAx val="50010002"/>
        <c:crosses val="autoZero"/>
        <c:auto val="1"/>
        <c:lblAlgn val="ctr"/>
        <c:lblOffset val="100"/>
      </c:catAx>
      <c:valAx>
        <c:axId val="50010002"/>
        <c:scaling>
          <c:orientation val="minMax"/>
        </c:scaling>
        <c:axPos val="l"/>
        <c:majorGridlines>
          <c:spPr>
            <a:ln>
              <a:solidFill>
                <a:srgbClr val="D9D9D9"/>
              </a:solidFill>
            </a:ln>
          </c:spPr>
        </c:majorGridlines>
        <c:title>
          <c:tx>
            <c:rich>
              <a:bodyPr/>
              <a:lstStyle/>
              <a:p>
                <a:pPr>
                  <a:defRPr/>
                </a:pPr>
                <a:r>
                  <a:rPr lang="en-US"/>
                  <a:t>Número de accidentes (fi)</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Distribución porcentual de los accidentes por intervalo de velocidad (km/h)</a:t>
            </a:r>
          </a:p>
        </c:rich>
      </c:tx>
      <c:layout/>
    </c:title>
    <c:plotArea>
      <c:layout/>
      <c:pieChart>
        <c:varyColors val="1"/>
        <c:ser>
          <c:idx val="0"/>
          <c:order val="0"/>
          <c:tx>
            <c:v>Porcentaje de accidentes</c:v>
          </c:tx>
          <c:dLbls>
            <c:numFmt formatCode="0.0%" sourceLinked="0"/>
            <c:dLblPos val="outEnd"/>
            <c:showPercent val="1"/>
            <c:showLeaderLines val="1"/>
          </c:dLbls>
          <c:cat>
            <c:strRef>
              <c:f>'Ejercicio 2'!$A$16:$A$25</c:f>
              <c:strCache>
                <c:ptCount val="10"/>
                <c:pt idx="0">
                  <c:v>[32 - 43)</c:v>
                </c:pt>
                <c:pt idx="1">
                  <c:v>[43 - 54)</c:v>
                </c:pt>
                <c:pt idx="2">
                  <c:v>[54 - 65)</c:v>
                </c:pt>
                <c:pt idx="3">
                  <c:v>[65 - 76)</c:v>
                </c:pt>
                <c:pt idx="4">
                  <c:v>[76 - 87)</c:v>
                </c:pt>
                <c:pt idx="5">
                  <c:v>[87 - 98)</c:v>
                </c:pt>
                <c:pt idx="6">
                  <c:v>[98 - 109)</c:v>
                </c:pt>
                <c:pt idx="7">
                  <c:v>[109 - 120)</c:v>
                </c:pt>
                <c:pt idx="8">
                  <c:v>[120 - 131)</c:v>
                </c:pt>
                <c:pt idx="9">
                  <c:v>[131 - 142]</c:v>
                </c:pt>
              </c:strCache>
            </c:strRef>
          </c:cat>
          <c:val>
            <c:numRef>
              <c:f>'Ejercicio 2'!$E$16:$E$25</c:f>
              <c:numCache>
                <c:formatCode>General</c:formatCode>
                <c:ptCount val="10"/>
                <c:pt idx="0">
                  <c:v>34</c:v>
                </c:pt>
                <c:pt idx="1">
                  <c:v>40</c:v>
                </c:pt>
                <c:pt idx="2">
                  <c:v>18</c:v>
                </c:pt>
                <c:pt idx="3">
                  <c:v>38</c:v>
                </c:pt>
                <c:pt idx="4">
                  <c:v>40</c:v>
                </c:pt>
                <c:pt idx="5">
                  <c:v>50</c:v>
                </c:pt>
                <c:pt idx="6">
                  <c:v>48</c:v>
                </c:pt>
                <c:pt idx="7">
                  <c:v>62</c:v>
                </c:pt>
                <c:pt idx="8">
                  <c:v>34</c:v>
                </c:pt>
                <c:pt idx="9">
                  <c:v>36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Polígono de frecuencia de la velocidad registrada</a:t>
            </a:r>
          </a:p>
        </c:rich>
      </c:tx>
      <c:layout/>
    </c:title>
    <c:plotArea>
      <c:layout/>
      <c:scatterChart>
        <c:scatterStyle val="lineMarker"/>
        <c:ser>
          <c:idx val="0"/>
          <c:order val="0"/>
          <c:tx>
            <c:v>Frecuencia absoluta (fi)</c:v>
          </c:tx>
          <c:spPr>
            <a:ln w="28575">
              <a:solidFill>
                <a:srgbClr val="2F5597"/>
              </a:solidFill>
            </a:ln>
          </c:spPr>
          <c:marker>
            <c:symbol val="circle"/>
            <c:size val="6"/>
            <c:spPr>
              <a:solidFill>
                <a:srgbClr val="2F5597"/>
              </a:solidFill>
              <a:ln>
                <a:solidFill>
                  <a:srgbClr val="2F5597"/>
                </a:solidFill>
              </a:ln>
            </c:spPr>
          </c:marker>
          <c:dLbls>
            <c:dLblPos val="t"/>
            <c:showVal val="1"/>
          </c:dLbls>
          <c:xVal>
            <c:numRef>
              <c:f>'Ejercicio 2'!$L$16:$L$27</c:f>
              <c:numCache>
                <c:formatCode>General</c:formatCode>
                <c:ptCount val="12"/>
                <c:pt idx="0">
                  <c:v>26.5</c:v>
                </c:pt>
                <c:pt idx="1">
                  <c:v>37.5</c:v>
                </c:pt>
                <c:pt idx="2">
                  <c:v>48.5</c:v>
                </c:pt>
                <c:pt idx="3">
                  <c:v>59.5</c:v>
                </c:pt>
                <c:pt idx="4">
                  <c:v>70.5</c:v>
                </c:pt>
                <c:pt idx="5">
                  <c:v>81.5</c:v>
                </c:pt>
                <c:pt idx="6">
                  <c:v>92.5</c:v>
                </c:pt>
                <c:pt idx="7">
                  <c:v>103.5</c:v>
                </c:pt>
                <c:pt idx="8">
                  <c:v>114.5</c:v>
                </c:pt>
                <c:pt idx="9">
                  <c:v>125.5</c:v>
                </c:pt>
                <c:pt idx="10">
                  <c:v>136.5</c:v>
                </c:pt>
                <c:pt idx="11">
                  <c:v>147.5</c:v>
                </c:pt>
              </c:numCache>
            </c:numRef>
          </c:xVal>
          <c:yVal>
            <c:numRef>
              <c:f>'Ejercicio 2'!$M$16:$M$27</c:f>
              <c:numCache>
                <c:formatCode>General</c:formatCode>
                <c:ptCount val="12"/>
                <c:pt idx="0">
                  <c:v>0</c:v>
                </c:pt>
                <c:pt idx="1">
                  <c:v>34</c:v>
                </c:pt>
                <c:pt idx="2">
                  <c:v>40</c:v>
                </c:pt>
                <c:pt idx="3">
                  <c:v>18</c:v>
                </c:pt>
                <c:pt idx="4">
                  <c:v>38</c:v>
                </c:pt>
                <c:pt idx="5">
                  <c:v>40</c:v>
                </c:pt>
                <c:pt idx="6">
                  <c:v>50</c:v>
                </c:pt>
                <c:pt idx="7">
                  <c:v>48</c:v>
                </c:pt>
                <c:pt idx="8">
                  <c:v>62</c:v>
                </c:pt>
                <c:pt idx="9">
                  <c:v>34</c:v>
                </c:pt>
                <c:pt idx="10">
                  <c:v>36</c:v>
                </c:pt>
                <c:pt idx="11">
                  <c:v>0</c:v>
                </c:pt>
              </c:numCache>
            </c:numRef>
          </c:yVal>
        </c:ser>
        <c:axId val="50030001"/>
        <c:axId val="50030002"/>
      </c:scatterChart>
      <c:valAx>
        <c:axId val="50030001"/>
        <c:scaling>
          <c:orientation val="minMax"/>
          <c:max val="150"/>
          <c:min val="20"/>
        </c:scaling>
        <c:axPos val="b"/>
        <c:title>
          <c:tx>
            <c:rich>
              <a:bodyPr/>
              <a:lstStyle/>
              <a:p>
                <a:pPr>
                  <a:defRPr/>
                </a:pPr>
                <a:r>
                  <a:rPr lang="en-US"/>
                  <a:t>Marca de clase: velocidad registrada (km/h)</a:t>
                </a:r>
              </a:p>
            </c:rich>
          </c:tx>
          <c:layout/>
        </c:title>
        <c:numFmt formatCode="General" sourceLinked="1"/>
        <c:tickLblPos val="nextTo"/>
        <c:crossAx val="50030002"/>
        <c:crosses val="autoZero"/>
        <c:crossBetween val="midCat"/>
        <c:majorUnit val="10"/>
      </c:valAx>
      <c:valAx>
        <c:axId val="50030002"/>
        <c:scaling>
          <c:orientation val="minMax"/>
          <c:min val="0"/>
        </c:scaling>
        <c:axPos val="l"/>
        <c:majorGridlines>
          <c:spPr>
            <a:ln>
              <a:solidFill>
                <a:srgbClr val="D9D9D9"/>
              </a:solidFill>
            </a:ln>
          </c:spPr>
        </c:majorGridlines>
        <c:title>
          <c:tx>
            <c:rich>
              <a:bodyPr rot="-5400000" vert="horz"/>
              <a:lstStyle/>
              <a:p>
                <a:pPr>
                  <a:defRPr/>
                </a:pPr>
                <a:r>
                  <a:rPr lang="en-US"/>
                  <a:t>Número de accidentes (fi)</a:t>
                </a:r>
              </a:p>
            </c:rich>
          </c:tx>
          <c:layout/>
        </c:title>
        <c:numFmt formatCode="General" sourceLinked="1"/>
        <c:tickLblPos val="nextTo"/>
        <c:crossAx val="50030001"/>
        <c:crosses val="autoZero"/>
        <c:crossBetween val="midCat"/>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pPr>
            <a:r>
              <a:rPr lang="en-US" sz="1200" baseline="0"/>
              <a:t>Diagrama de dispersión: años de experiencia e infracciones, con recta de regresión</a:t>
            </a:r>
          </a:p>
        </c:rich>
      </c:tx>
      <c:layout/>
    </c:title>
    <c:plotArea>
      <c:layout/>
      <c:scatterChart>
        <c:scatterStyle val="lineMarker"/>
        <c:ser>
          <c:idx val="0"/>
          <c:order val="0"/>
          <c:tx>
            <c:v>Conductores (un punto por accidente)</c:v>
          </c:tx>
          <c:spPr>
            <a:ln w="28575">
              <a:noFill/>
            </a:ln>
          </c:spPr>
          <c:marker>
            <c:symbol val="circle"/>
            <c:size val="6"/>
            <c:spPr>
              <a:solidFill>
                <a:srgbClr val="2F5597">
                  <a:alpha val="35000"/>
                </a:srgbClr>
              </a:solidFill>
              <a:ln>
                <a:solidFill>
                  <a:srgbClr val="2F5597">
                    <a:alpha val="70000"/>
                  </a:srgbClr>
                </a:solidFill>
              </a:ln>
            </c:spPr>
          </c:marker>
          <c:trendline>
            <c:name>Recta de regresión</c:name>
            <c:spPr>
              <a:ln w="28575">
                <a:solidFill>
                  <a:srgbClr val="C00000"/>
                </a:solidFill>
              </a:ln>
            </c:spPr>
            <c:trendlineType val="linear"/>
            <c:dispEq val="1"/>
            <c:trendlineLbl>
              <c:layout/>
              <c:numFmt formatCode="General" sourceLinked="0"/>
            </c:trendlineLbl>
          </c:trendline>
          <c:xVal>
            <c:numRef>
              <c:f>DATOS!$H$2:$H$401</c:f>
              <c:numCache>
                <c:formatCode>General</c:formatCode>
                <c:ptCount val="400"/>
                <c:pt idx="0">
                  <c:v>1</c:v>
                </c:pt>
                <c:pt idx="1">
                  <c:v>5</c:v>
                </c:pt>
                <c:pt idx="2">
                  <c:v>3</c:v>
                </c:pt>
                <c:pt idx="3">
                  <c:v>2</c:v>
                </c:pt>
                <c:pt idx="4">
                  <c:v>2</c:v>
                </c:pt>
                <c:pt idx="5">
                  <c:v>5</c:v>
                </c:pt>
                <c:pt idx="6">
                  <c:v>5</c:v>
                </c:pt>
                <c:pt idx="7">
                  <c:v>5</c:v>
                </c:pt>
                <c:pt idx="8">
                  <c:v>6</c:v>
                </c:pt>
                <c:pt idx="9">
                  <c:v>6</c:v>
                </c:pt>
                <c:pt idx="10">
                  <c:v>4</c:v>
                </c:pt>
                <c:pt idx="11">
                  <c:v>3</c:v>
                </c:pt>
                <c:pt idx="12">
                  <c:v>1</c:v>
                </c:pt>
                <c:pt idx="13">
                  <c:v>5</c:v>
                </c:pt>
                <c:pt idx="14">
                  <c:v>4</c:v>
                </c:pt>
                <c:pt idx="15">
                  <c:v>3</c:v>
                </c:pt>
                <c:pt idx="16">
                  <c:v>6</c:v>
                </c:pt>
                <c:pt idx="17">
                  <c:v>4</c:v>
                </c:pt>
                <c:pt idx="18">
                  <c:v>2</c:v>
                </c:pt>
                <c:pt idx="19">
                  <c:v>1</c:v>
                </c:pt>
                <c:pt idx="20">
                  <c:v>4</c:v>
                </c:pt>
                <c:pt idx="21">
                  <c:v>2</c:v>
                </c:pt>
                <c:pt idx="22">
                  <c:v>2</c:v>
                </c:pt>
                <c:pt idx="23">
                  <c:v>4</c:v>
                </c:pt>
                <c:pt idx="24">
                  <c:v>2</c:v>
                </c:pt>
                <c:pt idx="25">
                  <c:v>6</c:v>
                </c:pt>
                <c:pt idx="26">
                  <c:v>3</c:v>
                </c:pt>
                <c:pt idx="27">
                  <c:v>3</c:v>
                </c:pt>
                <c:pt idx="28">
                  <c:v>6</c:v>
                </c:pt>
                <c:pt idx="29">
                  <c:v>4</c:v>
                </c:pt>
                <c:pt idx="30">
                  <c:v>6</c:v>
                </c:pt>
                <c:pt idx="31">
                  <c:v>2</c:v>
                </c:pt>
                <c:pt idx="32">
                  <c:v>2</c:v>
                </c:pt>
                <c:pt idx="33">
                  <c:v>1</c:v>
                </c:pt>
                <c:pt idx="34">
                  <c:v>5</c:v>
                </c:pt>
                <c:pt idx="35">
                  <c:v>2</c:v>
                </c:pt>
                <c:pt idx="36">
                  <c:v>2</c:v>
                </c:pt>
                <c:pt idx="37">
                  <c:v>3</c:v>
                </c:pt>
                <c:pt idx="38">
                  <c:v>1</c:v>
                </c:pt>
                <c:pt idx="39">
                  <c:v>1</c:v>
                </c:pt>
                <c:pt idx="40">
                  <c:v>1</c:v>
                </c:pt>
                <c:pt idx="41">
                  <c:v>4</c:v>
                </c:pt>
                <c:pt idx="42">
                  <c:v>2</c:v>
                </c:pt>
                <c:pt idx="43">
                  <c:v>1</c:v>
                </c:pt>
                <c:pt idx="44">
                  <c:v>1</c:v>
                </c:pt>
                <c:pt idx="45">
                  <c:v>9</c:v>
                </c:pt>
                <c:pt idx="46">
                  <c:v>17</c:v>
                </c:pt>
                <c:pt idx="47">
                  <c:v>9</c:v>
                </c:pt>
                <c:pt idx="48">
                  <c:v>10</c:v>
                </c:pt>
                <c:pt idx="49">
                  <c:v>8</c:v>
                </c:pt>
                <c:pt idx="50">
                  <c:v>4</c:v>
                </c:pt>
                <c:pt idx="51">
                  <c:v>1</c:v>
                </c:pt>
                <c:pt idx="52">
                  <c:v>7</c:v>
                </c:pt>
                <c:pt idx="53">
                  <c:v>2</c:v>
                </c:pt>
                <c:pt idx="54">
                  <c:v>12</c:v>
                </c:pt>
                <c:pt idx="55">
                  <c:v>7</c:v>
                </c:pt>
                <c:pt idx="56">
                  <c:v>4</c:v>
                </c:pt>
                <c:pt idx="57">
                  <c:v>2</c:v>
                </c:pt>
                <c:pt idx="58">
                  <c:v>8</c:v>
                </c:pt>
                <c:pt idx="59">
                  <c:v>6</c:v>
                </c:pt>
                <c:pt idx="60">
                  <c:v>19</c:v>
                </c:pt>
                <c:pt idx="61">
                  <c:v>3</c:v>
                </c:pt>
                <c:pt idx="62">
                  <c:v>20</c:v>
                </c:pt>
                <c:pt idx="63">
                  <c:v>11</c:v>
                </c:pt>
                <c:pt idx="64">
                  <c:v>12</c:v>
                </c:pt>
                <c:pt idx="65">
                  <c:v>2</c:v>
                </c:pt>
                <c:pt idx="66">
                  <c:v>15</c:v>
                </c:pt>
                <c:pt idx="67">
                  <c:v>1</c:v>
                </c:pt>
                <c:pt idx="68">
                  <c:v>13</c:v>
                </c:pt>
                <c:pt idx="69">
                  <c:v>2</c:v>
                </c:pt>
                <c:pt idx="70">
                  <c:v>2</c:v>
                </c:pt>
                <c:pt idx="71">
                  <c:v>0</c:v>
                </c:pt>
                <c:pt idx="72">
                  <c:v>2</c:v>
                </c:pt>
                <c:pt idx="73">
                  <c:v>3</c:v>
                </c:pt>
                <c:pt idx="74">
                  <c:v>1</c:v>
                </c:pt>
                <c:pt idx="75">
                  <c:v>3</c:v>
                </c:pt>
                <c:pt idx="76">
                  <c:v>0</c:v>
                </c:pt>
                <c:pt idx="77">
                  <c:v>0</c:v>
                </c:pt>
                <c:pt idx="78">
                  <c:v>0</c:v>
                </c:pt>
                <c:pt idx="79">
                  <c:v>0</c:v>
                </c:pt>
                <c:pt idx="80">
                  <c:v>1</c:v>
                </c:pt>
                <c:pt idx="81">
                  <c:v>0</c:v>
                </c:pt>
                <c:pt idx="82">
                  <c:v>2</c:v>
                </c:pt>
                <c:pt idx="83">
                  <c:v>1</c:v>
                </c:pt>
                <c:pt idx="84">
                  <c:v>1</c:v>
                </c:pt>
                <c:pt idx="85">
                  <c:v>1</c:v>
                </c:pt>
                <c:pt idx="86">
                  <c:v>3</c:v>
                </c:pt>
                <c:pt idx="87">
                  <c:v>0</c:v>
                </c:pt>
                <c:pt idx="88">
                  <c:v>0</c:v>
                </c:pt>
                <c:pt idx="89">
                  <c:v>3</c:v>
                </c:pt>
                <c:pt idx="90">
                  <c:v>1</c:v>
                </c:pt>
                <c:pt idx="91">
                  <c:v>3</c:v>
                </c:pt>
                <c:pt idx="92">
                  <c:v>0</c:v>
                </c:pt>
                <c:pt idx="93">
                  <c:v>1</c:v>
                </c:pt>
                <c:pt idx="94">
                  <c:v>1</c:v>
                </c:pt>
                <c:pt idx="95">
                  <c:v>3</c:v>
                </c:pt>
                <c:pt idx="96">
                  <c:v>1</c:v>
                </c:pt>
                <c:pt idx="97">
                  <c:v>0</c:v>
                </c:pt>
                <c:pt idx="98">
                  <c:v>3</c:v>
                </c:pt>
                <c:pt idx="99">
                  <c:v>2</c:v>
                </c:pt>
                <c:pt idx="100">
                  <c:v>3</c:v>
                </c:pt>
                <c:pt idx="101">
                  <c:v>2</c:v>
                </c:pt>
                <c:pt idx="102">
                  <c:v>3</c:v>
                </c:pt>
                <c:pt idx="103">
                  <c:v>2</c:v>
                </c:pt>
                <c:pt idx="104">
                  <c:v>3</c:v>
                </c:pt>
                <c:pt idx="105">
                  <c:v>2</c:v>
                </c:pt>
                <c:pt idx="106">
                  <c:v>3</c:v>
                </c:pt>
                <c:pt idx="107">
                  <c:v>2</c:v>
                </c:pt>
                <c:pt idx="108">
                  <c:v>0</c:v>
                </c:pt>
                <c:pt idx="109">
                  <c:v>0</c:v>
                </c:pt>
                <c:pt idx="110">
                  <c:v>0</c:v>
                </c:pt>
                <c:pt idx="111">
                  <c:v>2</c:v>
                </c:pt>
                <c:pt idx="112">
                  <c:v>1</c:v>
                </c:pt>
                <c:pt idx="113">
                  <c:v>0</c:v>
                </c:pt>
                <c:pt idx="114">
                  <c:v>3</c:v>
                </c:pt>
                <c:pt idx="115">
                  <c:v>30</c:v>
                </c:pt>
                <c:pt idx="116">
                  <c:v>2</c:v>
                </c:pt>
                <c:pt idx="117">
                  <c:v>3</c:v>
                </c:pt>
                <c:pt idx="118">
                  <c:v>3</c:v>
                </c:pt>
                <c:pt idx="119">
                  <c:v>1</c:v>
                </c:pt>
                <c:pt idx="120">
                  <c:v>1</c:v>
                </c:pt>
                <c:pt idx="121">
                  <c:v>1</c:v>
                </c:pt>
                <c:pt idx="122">
                  <c:v>1</c:v>
                </c:pt>
                <c:pt idx="123">
                  <c:v>2</c:v>
                </c:pt>
                <c:pt idx="124">
                  <c:v>3</c:v>
                </c:pt>
                <c:pt idx="125">
                  <c:v>0</c:v>
                </c:pt>
                <c:pt idx="126">
                  <c:v>2</c:v>
                </c:pt>
                <c:pt idx="127">
                  <c:v>1</c:v>
                </c:pt>
                <c:pt idx="128">
                  <c:v>0</c:v>
                </c:pt>
                <c:pt idx="129">
                  <c:v>3</c:v>
                </c:pt>
                <c:pt idx="130">
                  <c:v>1</c:v>
                </c:pt>
                <c:pt idx="131">
                  <c:v>1</c:v>
                </c:pt>
                <c:pt idx="132">
                  <c:v>1</c:v>
                </c:pt>
                <c:pt idx="133">
                  <c:v>1</c:v>
                </c:pt>
                <c:pt idx="134">
                  <c:v>2</c:v>
                </c:pt>
                <c:pt idx="135">
                  <c:v>2</c:v>
                </c:pt>
                <c:pt idx="136">
                  <c:v>1</c:v>
                </c:pt>
                <c:pt idx="137">
                  <c:v>1</c:v>
                </c:pt>
                <c:pt idx="138">
                  <c:v>2</c:v>
                </c:pt>
                <c:pt idx="139">
                  <c:v>2</c:v>
                </c:pt>
                <c:pt idx="140">
                  <c:v>3</c:v>
                </c:pt>
                <c:pt idx="141">
                  <c:v>1</c:v>
                </c:pt>
                <c:pt idx="142">
                  <c:v>2</c:v>
                </c:pt>
                <c:pt idx="143">
                  <c:v>0</c:v>
                </c:pt>
                <c:pt idx="144">
                  <c:v>0</c:v>
                </c:pt>
                <c:pt idx="145">
                  <c:v>1</c:v>
                </c:pt>
                <c:pt idx="146">
                  <c:v>1</c:v>
                </c:pt>
                <c:pt idx="147">
                  <c:v>3</c:v>
                </c:pt>
                <c:pt idx="148">
                  <c:v>3</c:v>
                </c:pt>
                <c:pt idx="149">
                  <c:v>0</c:v>
                </c:pt>
                <c:pt idx="150">
                  <c:v>3</c:v>
                </c:pt>
                <c:pt idx="151">
                  <c:v>3</c:v>
                </c:pt>
                <c:pt idx="152">
                  <c:v>0</c:v>
                </c:pt>
                <c:pt idx="153">
                  <c:v>3</c:v>
                </c:pt>
                <c:pt idx="154">
                  <c:v>0</c:v>
                </c:pt>
                <c:pt idx="155">
                  <c:v>3</c:v>
                </c:pt>
                <c:pt idx="156">
                  <c:v>1</c:v>
                </c:pt>
                <c:pt idx="157">
                  <c:v>0</c:v>
                </c:pt>
                <c:pt idx="158">
                  <c:v>3</c:v>
                </c:pt>
                <c:pt idx="159">
                  <c:v>1</c:v>
                </c:pt>
                <c:pt idx="160">
                  <c:v>0</c:v>
                </c:pt>
                <c:pt idx="161">
                  <c:v>3</c:v>
                </c:pt>
                <c:pt idx="162">
                  <c:v>3</c:v>
                </c:pt>
                <c:pt idx="163">
                  <c:v>0</c:v>
                </c:pt>
                <c:pt idx="164">
                  <c:v>3</c:v>
                </c:pt>
                <c:pt idx="165">
                  <c:v>0</c:v>
                </c:pt>
                <c:pt idx="166">
                  <c:v>20</c:v>
                </c:pt>
                <c:pt idx="167">
                  <c:v>0</c:v>
                </c:pt>
                <c:pt idx="168">
                  <c:v>2</c:v>
                </c:pt>
                <c:pt idx="169">
                  <c:v>3</c:v>
                </c:pt>
                <c:pt idx="170">
                  <c:v>0</c:v>
                </c:pt>
                <c:pt idx="171">
                  <c:v>3</c:v>
                </c:pt>
                <c:pt idx="172">
                  <c:v>3</c:v>
                </c:pt>
                <c:pt idx="173">
                  <c:v>2</c:v>
                </c:pt>
                <c:pt idx="174">
                  <c:v>0</c:v>
                </c:pt>
                <c:pt idx="175">
                  <c:v>2</c:v>
                </c:pt>
                <c:pt idx="176">
                  <c:v>2</c:v>
                </c:pt>
                <c:pt idx="177">
                  <c:v>0</c:v>
                </c:pt>
                <c:pt idx="178">
                  <c:v>1</c:v>
                </c:pt>
                <c:pt idx="179">
                  <c:v>3</c:v>
                </c:pt>
                <c:pt idx="180">
                  <c:v>2</c:v>
                </c:pt>
                <c:pt idx="181">
                  <c:v>3</c:v>
                </c:pt>
                <c:pt idx="182">
                  <c:v>0</c:v>
                </c:pt>
                <c:pt idx="183">
                  <c:v>0</c:v>
                </c:pt>
                <c:pt idx="184">
                  <c:v>1</c:v>
                </c:pt>
                <c:pt idx="185">
                  <c:v>3</c:v>
                </c:pt>
                <c:pt idx="186">
                  <c:v>3</c:v>
                </c:pt>
                <c:pt idx="187">
                  <c:v>0</c:v>
                </c:pt>
                <c:pt idx="188">
                  <c:v>0</c:v>
                </c:pt>
                <c:pt idx="189">
                  <c:v>1</c:v>
                </c:pt>
                <c:pt idx="190">
                  <c:v>2</c:v>
                </c:pt>
                <c:pt idx="191">
                  <c:v>2</c:v>
                </c:pt>
                <c:pt idx="192">
                  <c:v>2</c:v>
                </c:pt>
                <c:pt idx="193">
                  <c:v>2</c:v>
                </c:pt>
                <c:pt idx="194">
                  <c:v>2</c:v>
                </c:pt>
                <c:pt idx="195">
                  <c:v>0</c:v>
                </c:pt>
                <c:pt idx="196">
                  <c:v>0</c:v>
                </c:pt>
                <c:pt idx="197">
                  <c:v>3</c:v>
                </c:pt>
                <c:pt idx="198">
                  <c:v>3</c:v>
                </c:pt>
                <c:pt idx="199">
                  <c:v>1</c:v>
                </c:pt>
                <c:pt idx="200">
                  <c:v>1</c:v>
                </c:pt>
                <c:pt idx="201">
                  <c:v>2</c:v>
                </c:pt>
                <c:pt idx="202">
                  <c:v>0</c:v>
                </c:pt>
                <c:pt idx="203">
                  <c:v>3</c:v>
                </c:pt>
                <c:pt idx="204">
                  <c:v>3</c:v>
                </c:pt>
                <c:pt idx="205">
                  <c:v>2</c:v>
                </c:pt>
                <c:pt idx="206">
                  <c:v>3</c:v>
                </c:pt>
                <c:pt idx="207">
                  <c:v>2</c:v>
                </c:pt>
                <c:pt idx="208">
                  <c:v>1</c:v>
                </c:pt>
                <c:pt idx="209">
                  <c:v>3</c:v>
                </c:pt>
                <c:pt idx="210">
                  <c:v>0</c:v>
                </c:pt>
                <c:pt idx="211">
                  <c:v>2</c:v>
                </c:pt>
                <c:pt idx="212">
                  <c:v>0</c:v>
                </c:pt>
                <c:pt idx="213">
                  <c:v>3</c:v>
                </c:pt>
                <c:pt idx="214">
                  <c:v>0</c:v>
                </c:pt>
                <c:pt idx="215">
                  <c:v>2</c:v>
                </c:pt>
                <c:pt idx="216">
                  <c:v>2</c:v>
                </c:pt>
                <c:pt idx="217">
                  <c:v>2</c:v>
                </c:pt>
                <c:pt idx="218">
                  <c:v>0</c:v>
                </c:pt>
                <c:pt idx="219">
                  <c:v>1</c:v>
                </c:pt>
                <c:pt idx="220">
                  <c:v>2</c:v>
                </c:pt>
                <c:pt idx="221">
                  <c:v>2</c:v>
                </c:pt>
                <c:pt idx="222">
                  <c:v>2</c:v>
                </c:pt>
                <c:pt idx="223">
                  <c:v>1</c:v>
                </c:pt>
                <c:pt idx="224">
                  <c:v>2</c:v>
                </c:pt>
                <c:pt idx="225">
                  <c:v>1</c:v>
                </c:pt>
                <c:pt idx="226">
                  <c:v>1</c:v>
                </c:pt>
                <c:pt idx="227">
                  <c:v>1</c:v>
                </c:pt>
                <c:pt idx="228">
                  <c:v>0</c:v>
                </c:pt>
                <c:pt idx="229">
                  <c:v>2</c:v>
                </c:pt>
                <c:pt idx="230">
                  <c:v>3</c:v>
                </c:pt>
                <c:pt idx="231">
                  <c:v>0</c:v>
                </c:pt>
                <c:pt idx="232">
                  <c:v>3</c:v>
                </c:pt>
                <c:pt idx="233">
                  <c:v>3</c:v>
                </c:pt>
                <c:pt idx="234">
                  <c:v>1</c:v>
                </c:pt>
                <c:pt idx="235">
                  <c:v>1</c:v>
                </c:pt>
                <c:pt idx="236">
                  <c:v>2</c:v>
                </c:pt>
                <c:pt idx="237">
                  <c:v>0</c:v>
                </c:pt>
                <c:pt idx="238">
                  <c:v>1</c:v>
                </c:pt>
                <c:pt idx="239">
                  <c:v>0</c:v>
                </c:pt>
                <c:pt idx="240">
                  <c:v>8</c:v>
                </c:pt>
                <c:pt idx="241">
                  <c:v>8</c:v>
                </c:pt>
                <c:pt idx="242">
                  <c:v>20</c:v>
                </c:pt>
                <c:pt idx="243">
                  <c:v>10</c:v>
                </c:pt>
                <c:pt idx="244">
                  <c:v>1</c:v>
                </c:pt>
                <c:pt idx="245">
                  <c:v>12</c:v>
                </c:pt>
                <c:pt idx="246">
                  <c:v>7</c:v>
                </c:pt>
                <c:pt idx="247">
                  <c:v>13</c:v>
                </c:pt>
                <c:pt idx="248">
                  <c:v>15</c:v>
                </c:pt>
                <c:pt idx="249">
                  <c:v>12</c:v>
                </c:pt>
                <c:pt idx="250">
                  <c:v>9</c:v>
                </c:pt>
                <c:pt idx="251">
                  <c:v>12</c:v>
                </c:pt>
                <c:pt idx="252">
                  <c:v>13</c:v>
                </c:pt>
                <c:pt idx="253">
                  <c:v>7</c:v>
                </c:pt>
                <c:pt idx="254">
                  <c:v>17</c:v>
                </c:pt>
                <c:pt idx="255">
                  <c:v>9</c:v>
                </c:pt>
                <c:pt idx="256">
                  <c:v>7</c:v>
                </c:pt>
                <c:pt idx="257">
                  <c:v>9</c:v>
                </c:pt>
                <c:pt idx="258">
                  <c:v>10</c:v>
                </c:pt>
                <c:pt idx="259">
                  <c:v>9</c:v>
                </c:pt>
                <c:pt idx="260">
                  <c:v>2</c:v>
                </c:pt>
                <c:pt idx="261">
                  <c:v>10</c:v>
                </c:pt>
                <c:pt idx="262">
                  <c:v>5</c:v>
                </c:pt>
                <c:pt idx="263">
                  <c:v>6</c:v>
                </c:pt>
                <c:pt idx="264">
                  <c:v>3</c:v>
                </c:pt>
                <c:pt idx="265">
                  <c:v>3</c:v>
                </c:pt>
                <c:pt idx="266">
                  <c:v>4</c:v>
                </c:pt>
                <c:pt idx="267">
                  <c:v>6</c:v>
                </c:pt>
                <c:pt idx="268">
                  <c:v>3</c:v>
                </c:pt>
                <c:pt idx="269">
                  <c:v>5</c:v>
                </c:pt>
                <c:pt idx="270">
                  <c:v>4</c:v>
                </c:pt>
                <c:pt idx="271">
                  <c:v>3</c:v>
                </c:pt>
                <c:pt idx="272">
                  <c:v>2</c:v>
                </c:pt>
                <c:pt idx="273">
                  <c:v>4</c:v>
                </c:pt>
                <c:pt idx="274">
                  <c:v>1</c:v>
                </c:pt>
                <c:pt idx="275">
                  <c:v>3</c:v>
                </c:pt>
                <c:pt idx="276">
                  <c:v>5</c:v>
                </c:pt>
                <c:pt idx="277">
                  <c:v>3</c:v>
                </c:pt>
                <c:pt idx="278">
                  <c:v>4</c:v>
                </c:pt>
                <c:pt idx="279">
                  <c:v>6</c:v>
                </c:pt>
                <c:pt idx="280">
                  <c:v>6</c:v>
                </c:pt>
                <c:pt idx="281">
                  <c:v>2</c:v>
                </c:pt>
                <c:pt idx="282">
                  <c:v>3</c:v>
                </c:pt>
                <c:pt idx="283">
                  <c:v>2</c:v>
                </c:pt>
                <c:pt idx="284">
                  <c:v>3</c:v>
                </c:pt>
                <c:pt idx="285">
                  <c:v>4</c:v>
                </c:pt>
                <c:pt idx="286">
                  <c:v>4</c:v>
                </c:pt>
                <c:pt idx="287">
                  <c:v>5</c:v>
                </c:pt>
                <c:pt idx="288">
                  <c:v>4</c:v>
                </c:pt>
                <c:pt idx="289">
                  <c:v>6</c:v>
                </c:pt>
                <c:pt idx="290">
                  <c:v>3</c:v>
                </c:pt>
                <c:pt idx="291">
                  <c:v>4</c:v>
                </c:pt>
                <c:pt idx="292">
                  <c:v>2</c:v>
                </c:pt>
                <c:pt idx="293">
                  <c:v>6</c:v>
                </c:pt>
                <c:pt idx="294">
                  <c:v>3</c:v>
                </c:pt>
                <c:pt idx="295">
                  <c:v>4</c:v>
                </c:pt>
                <c:pt idx="296">
                  <c:v>3</c:v>
                </c:pt>
                <c:pt idx="297">
                  <c:v>3</c:v>
                </c:pt>
                <c:pt idx="298">
                  <c:v>5</c:v>
                </c:pt>
                <c:pt idx="299">
                  <c:v>4</c:v>
                </c:pt>
                <c:pt idx="300">
                  <c:v>1</c:v>
                </c:pt>
                <c:pt idx="301">
                  <c:v>2</c:v>
                </c:pt>
                <c:pt idx="302">
                  <c:v>0</c:v>
                </c:pt>
                <c:pt idx="303">
                  <c:v>3</c:v>
                </c:pt>
                <c:pt idx="304">
                  <c:v>3</c:v>
                </c:pt>
                <c:pt idx="305">
                  <c:v>2</c:v>
                </c:pt>
                <c:pt idx="306">
                  <c:v>3</c:v>
                </c:pt>
                <c:pt idx="307">
                  <c:v>2</c:v>
                </c:pt>
                <c:pt idx="308">
                  <c:v>1</c:v>
                </c:pt>
                <c:pt idx="309">
                  <c:v>3</c:v>
                </c:pt>
                <c:pt idx="310">
                  <c:v>0</c:v>
                </c:pt>
                <c:pt idx="311">
                  <c:v>2</c:v>
                </c:pt>
                <c:pt idx="312">
                  <c:v>0</c:v>
                </c:pt>
                <c:pt idx="313">
                  <c:v>3</c:v>
                </c:pt>
                <c:pt idx="314">
                  <c:v>0</c:v>
                </c:pt>
                <c:pt idx="315">
                  <c:v>2</c:v>
                </c:pt>
                <c:pt idx="316">
                  <c:v>2</c:v>
                </c:pt>
                <c:pt idx="317">
                  <c:v>2</c:v>
                </c:pt>
                <c:pt idx="318">
                  <c:v>0</c:v>
                </c:pt>
                <c:pt idx="319">
                  <c:v>1</c:v>
                </c:pt>
                <c:pt idx="320">
                  <c:v>2</c:v>
                </c:pt>
                <c:pt idx="321">
                  <c:v>2</c:v>
                </c:pt>
                <c:pt idx="322">
                  <c:v>2</c:v>
                </c:pt>
                <c:pt idx="323">
                  <c:v>1</c:v>
                </c:pt>
                <c:pt idx="324">
                  <c:v>2</c:v>
                </c:pt>
                <c:pt idx="325">
                  <c:v>1</c:v>
                </c:pt>
                <c:pt idx="326">
                  <c:v>1</c:v>
                </c:pt>
                <c:pt idx="327">
                  <c:v>1</c:v>
                </c:pt>
                <c:pt idx="328">
                  <c:v>0</c:v>
                </c:pt>
                <c:pt idx="329">
                  <c:v>2</c:v>
                </c:pt>
                <c:pt idx="330">
                  <c:v>3</c:v>
                </c:pt>
                <c:pt idx="331">
                  <c:v>0</c:v>
                </c:pt>
                <c:pt idx="332">
                  <c:v>3</c:v>
                </c:pt>
                <c:pt idx="333">
                  <c:v>3</c:v>
                </c:pt>
                <c:pt idx="334">
                  <c:v>1</c:v>
                </c:pt>
                <c:pt idx="335">
                  <c:v>1</c:v>
                </c:pt>
                <c:pt idx="336">
                  <c:v>2</c:v>
                </c:pt>
                <c:pt idx="337">
                  <c:v>0</c:v>
                </c:pt>
                <c:pt idx="338">
                  <c:v>1</c:v>
                </c:pt>
                <c:pt idx="339">
                  <c:v>0</c:v>
                </c:pt>
                <c:pt idx="340">
                  <c:v>8</c:v>
                </c:pt>
                <c:pt idx="341">
                  <c:v>8</c:v>
                </c:pt>
                <c:pt idx="342">
                  <c:v>20</c:v>
                </c:pt>
                <c:pt idx="343">
                  <c:v>10</c:v>
                </c:pt>
                <c:pt idx="344">
                  <c:v>1</c:v>
                </c:pt>
                <c:pt idx="345">
                  <c:v>12</c:v>
                </c:pt>
                <c:pt idx="346">
                  <c:v>7</c:v>
                </c:pt>
                <c:pt idx="347">
                  <c:v>13</c:v>
                </c:pt>
                <c:pt idx="348">
                  <c:v>15</c:v>
                </c:pt>
                <c:pt idx="349">
                  <c:v>12</c:v>
                </c:pt>
                <c:pt idx="350">
                  <c:v>9</c:v>
                </c:pt>
                <c:pt idx="351">
                  <c:v>12</c:v>
                </c:pt>
                <c:pt idx="352">
                  <c:v>13</c:v>
                </c:pt>
                <c:pt idx="353">
                  <c:v>7</c:v>
                </c:pt>
                <c:pt idx="354">
                  <c:v>17</c:v>
                </c:pt>
                <c:pt idx="355">
                  <c:v>9</c:v>
                </c:pt>
                <c:pt idx="356">
                  <c:v>7</c:v>
                </c:pt>
                <c:pt idx="357">
                  <c:v>9</c:v>
                </c:pt>
                <c:pt idx="358">
                  <c:v>10</c:v>
                </c:pt>
                <c:pt idx="359">
                  <c:v>9</c:v>
                </c:pt>
                <c:pt idx="360">
                  <c:v>2</c:v>
                </c:pt>
                <c:pt idx="361">
                  <c:v>10</c:v>
                </c:pt>
                <c:pt idx="362">
                  <c:v>5</c:v>
                </c:pt>
                <c:pt idx="363">
                  <c:v>6</c:v>
                </c:pt>
                <c:pt idx="364">
                  <c:v>3</c:v>
                </c:pt>
                <c:pt idx="365">
                  <c:v>3</c:v>
                </c:pt>
                <c:pt idx="366">
                  <c:v>4</c:v>
                </c:pt>
                <c:pt idx="367">
                  <c:v>6</c:v>
                </c:pt>
                <c:pt idx="368">
                  <c:v>3</c:v>
                </c:pt>
                <c:pt idx="369">
                  <c:v>5</c:v>
                </c:pt>
                <c:pt idx="370">
                  <c:v>4</c:v>
                </c:pt>
                <c:pt idx="371">
                  <c:v>3</c:v>
                </c:pt>
                <c:pt idx="372">
                  <c:v>2</c:v>
                </c:pt>
                <c:pt idx="373">
                  <c:v>4</c:v>
                </c:pt>
                <c:pt idx="374">
                  <c:v>1</c:v>
                </c:pt>
                <c:pt idx="375">
                  <c:v>3</c:v>
                </c:pt>
                <c:pt idx="376">
                  <c:v>5</c:v>
                </c:pt>
                <c:pt idx="377">
                  <c:v>3</c:v>
                </c:pt>
                <c:pt idx="378">
                  <c:v>4</c:v>
                </c:pt>
                <c:pt idx="379">
                  <c:v>6</c:v>
                </c:pt>
                <c:pt idx="380">
                  <c:v>6</c:v>
                </c:pt>
                <c:pt idx="381">
                  <c:v>2</c:v>
                </c:pt>
                <c:pt idx="382">
                  <c:v>3</c:v>
                </c:pt>
                <c:pt idx="383">
                  <c:v>2</c:v>
                </c:pt>
                <c:pt idx="384">
                  <c:v>3</c:v>
                </c:pt>
                <c:pt idx="385">
                  <c:v>4</c:v>
                </c:pt>
                <c:pt idx="386">
                  <c:v>4</c:v>
                </c:pt>
                <c:pt idx="387">
                  <c:v>5</c:v>
                </c:pt>
                <c:pt idx="388">
                  <c:v>4</c:v>
                </c:pt>
                <c:pt idx="389">
                  <c:v>6</c:v>
                </c:pt>
                <c:pt idx="390">
                  <c:v>3</c:v>
                </c:pt>
                <c:pt idx="391">
                  <c:v>4</c:v>
                </c:pt>
                <c:pt idx="392">
                  <c:v>2</c:v>
                </c:pt>
                <c:pt idx="393">
                  <c:v>6</c:v>
                </c:pt>
                <c:pt idx="394">
                  <c:v>3</c:v>
                </c:pt>
                <c:pt idx="395">
                  <c:v>4</c:v>
                </c:pt>
                <c:pt idx="396">
                  <c:v>3</c:v>
                </c:pt>
                <c:pt idx="397">
                  <c:v>3</c:v>
                </c:pt>
                <c:pt idx="398">
                  <c:v>5</c:v>
                </c:pt>
                <c:pt idx="399">
                  <c:v>4</c:v>
                </c:pt>
              </c:numCache>
            </c:numRef>
          </c:xVal>
          <c:yVal>
            <c:numRef>
              <c:f>DATOS!$I$2:$I$401</c:f>
              <c:numCache>
                <c:formatCode>General</c:formatCode>
                <c:ptCount val="400"/>
                <c:pt idx="0">
                  <c:v>1</c:v>
                </c:pt>
                <c:pt idx="1">
                  <c:v>6</c:v>
                </c:pt>
                <c:pt idx="2">
                  <c:v>3</c:v>
                </c:pt>
                <c:pt idx="3">
                  <c:v>8</c:v>
                </c:pt>
                <c:pt idx="4">
                  <c:v>3</c:v>
                </c:pt>
                <c:pt idx="5">
                  <c:v>6</c:v>
                </c:pt>
                <c:pt idx="6">
                  <c:v>7</c:v>
                </c:pt>
                <c:pt idx="7">
                  <c:v>5</c:v>
                </c:pt>
                <c:pt idx="8">
                  <c:v>8</c:v>
                </c:pt>
                <c:pt idx="9">
                  <c:v>7</c:v>
                </c:pt>
                <c:pt idx="10">
                  <c:v>7</c:v>
                </c:pt>
                <c:pt idx="11">
                  <c:v>3</c:v>
                </c:pt>
                <c:pt idx="12">
                  <c:v>1</c:v>
                </c:pt>
                <c:pt idx="13">
                  <c:v>2</c:v>
                </c:pt>
                <c:pt idx="14">
                  <c:v>6</c:v>
                </c:pt>
                <c:pt idx="15">
                  <c:v>4</c:v>
                </c:pt>
                <c:pt idx="16">
                  <c:v>6</c:v>
                </c:pt>
                <c:pt idx="17">
                  <c:v>4</c:v>
                </c:pt>
                <c:pt idx="18">
                  <c:v>8</c:v>
                </c:pt>
                <c:pt idx="19">
                  <c:v>0</c:v>
                </c:pt>
                <c:pt idx="20">
                  <c:v>4</c:v>
                </c:pt>
                <c:pt idx="21">
                  <c:v>7</c:v>
                </c:pt>
                <c:pt idx="22">
                  <c:v>3</c:v>
                </c:pt>
                <c:pt idx="23">
                  <c:v>3</c:v>
                </c:pt>
                <c:pt idx="24">
                  <c:v>6</c:v>
                </c:pt>
                <c:pt idx="25">
                  <c:v>8</c:v>
                </c:pt>
                <c:pt idx="26">
                  <c:v>6</c:v>
                </c:pt>
                <c:pt idx="27">
                  <c:v>5</c:v>
                </c:pt>
                <c:pt idx="28">
                  <c:v>2</c:v>
                </c:pt>
                <c:pt idx="29">
                  <c:v>2</c:v>
                </c:pt>
                <c:pt idx="30">
                  <c:v>7</c:v>
                </c:pt>
                <c:pt idx="31">
                  <c:v>5</c:v>
                </c:pt>
                <c:pt idx="32">
                  <c:v>3</c:v>
                </c:pt>
                <c:pt idx="33">
                  <c:v>0</c:v>
                </c:pt>
                <c:pt idx="34">
                  <c:v>2</c:v>
                </c:pt>
                <c:pt idx="35">
                  <c:v>3</c:v>
                </c:pt>
                <c:pt idx="36">
                  <c:v>8</c:v>
                </c:pt>
                <c:pt idx="37">
                  <c:v>2</c:v>
                </c:pt>
                <c:pt idx="38">
                  <c:v>0</c:v>
                </c:pt>
                <c:pt idx="39">
                  <c:v>0</c:v>
                </c:pt>
                <c:pt idx="40">
                  <c:v>1</c:v>
                </c:pt>
                <c:pt idx="41">
                  <c:v>2</c:v>
                </c:pt>
                <c:pt idx="42">
                  <c:v>3</c:v>
                </c:pt>
                <c:pt idx="43">
                  <c:v>1</c:v>
                </c:pt>
                <c:pt idx="44">
                  <c:v>0</c:v>
                </c:pt>
                <c:pt idx="45">
                  <c:v>8</c:v>
                </c:pt>
                <c:pt idx="46">
                  <c:v>16</c:v>
                </c:pt>
                <c:pt idx="47">
                  <c:v>6</c:v>
                </c:pt>
                <c:pt idx="48">
                  <c:v>6</c:v>
                </c:pt>
                <c:pt idx="49">
                  <c:v>7</c:v>
                </c:pt>
                <c:pt idx="50">
                  <c:v>7</c:v>
                </c:pt>
                <c:pt idx="51">
                  <c:v>0</c:v>
                </c:pt>
                <c:pt idx="52">
                  <c:v>7</c:v>
                </c:pt>
                <c:pt idx="53">
                  <c:v>2</c:v>
                </c:pt>
                <c:pt idx="54">
                  <c:v>15</c:v>
                </c:pt>
                <c:pt idx="55">
                  <c:v>3</c:v>
                </c:pt>
                <c:pt idx="56">
                  <c:v>4</c:v>
                </c:pt>
                <c:pt idx="57">
                  <c:v>6</c:v>
                </c:pt>
                <c:pt idx="58">
                  <c:v>3</c:v>
                </c:pt>
                <c:pt idx="59">
                  <c:v>2</c:v>
                </c:pt>
                <c:pt idx="60">
                  <c:v>16</c:v>
                </c:pt>
                <c:pt idx="61">
                  <c:v>5</c:v>
                </c:pt>
                <c:pt idx="62">
                  <c:v>12</c:v>
                </c:pt>
                <c:pt idx="63">
                  <c:v>18</c:v>
                </c:pt>
                <c:pt idx="64">
                  <c:v>19</c:v>
                </c:pt>
                <c:pt idx="65">
                  <c:v>5</c:v>
                </c:pt>
                <c:pt idx="66">
                  <c:v>16</c:v>
                </c:pt>
                <c:pt idx="67">
                  <c:v>1</c:v>
                </c:pt>
                <c:pt idx="68">
                  <c:v>15</c:v>
                </c:pt>
                <c:pt idx="69">
                  <c:v>2</c:v>
                </c:pt>
                <c:pt idx="70">
                  <c:v>2</c:v>
                </c:pt>
                <c:pt idx="71">
                  <c:v>0</c:v>
                </c:pt>
                <c:pt idx="72">
                  <c:v>7</c:v>
                </c:pt>
                <c:pt idx="73">
                  <c:v>2</c:v>
                </c:pt>
                <c:pt idx="74">
                  <c:v>0</c:v>
                </c:pt>
                <c:pt idx="75">
                  <c:v>8</c:v>
                </c:pt>
                <c:pt idx="76">
                  <c:v>0</c:v>
                </c:pt>
                <c:pt idx="77">
                  <c:v>0</c:v>
                </c:pt>
                <c:pt idx="78">
                  <c:v>2</c:v>
                </c:pt>
                <c:pt idx="79">
                  <c:v>1</c:v>
                </c:pt>
                <c:pt idx="80">
                  <c:v>0</c:v>
                </c:pt>
                <c:pt idx="81">
                  <c:v>2</c:v>
                </c:pt>
                <c:pt idx="82">
                  <c:v>5</c:v>
                </c:pt>
                <c:pt idx="83">
                  <c:v>1</c:v>
                </c:pt>
                <c:pt idx="84">
                  <c:v>1</c:v>
                </c:pt>
                <c:pt idx="85">
                  <c:v>0</c:v>
                </c:pt>
                <c:pt idx="86">
                  <c:v>7</c:v>
                </c:pt>
                <c:pt idx="87">
                  <c:v>1</c:v>
                </c:pt>
                <c:pt idx="88">
                  <c:v>0</c:v>
                </c:pt>
                <c:pt idx="89">
                  <c:v>7</c:v>
                </c:pt>
                <c:pt idx="90">
                  <c:v>0</c:v>
                </c:pt>
                <c:pt idx="91">
                  <c:v>4</c:v>
                </c:pt>
                <c:pt idx="92">
                  <c:v>1</c:v>
                </c:pt>
                <c:pt idx="93">
                  <c:v>0</c:v>
                </c:pt>
                <c:pt idx="94">
                  <c:v>1</c:v>
                </c:pt>
                <c:pt idx="95">
                  <c:v>7</c:v>
                </c:pt>
                <c:pt idx="96">
                  <c:v>0</c:v>
                </c:pt>
                <c:pt idx="97">
                  <c:v>1</c:v>
                </c:pt>
                <c:pt idx="98">
                  <c:v>7</c:v>
                </c:pt>
                <c:pt idx="99">
                  <c:v>8</c:v>
                </c:pt>
                <c:pt idx="100">
                  <c:v>2</c:v>
                </c:pt>
                <c:pt idx="101">
                  <c:v>8</c:v>
                </c:pt>
                <c:pt idx="102">
                  <c:v>6</c:v>
                </c:pt>
                <c:pt idx="103">
                  <c:v>2</c:v>
                </c:pt>
                <c:pt idx="104">
                  <c:v>8</c:v>
                </c:pt>
                <c:pt idx="105">
                  <c:v>5</c:v>
                </c:pt>
                <c:pt idx="106">
                  <c:v>5</c:v>
                </c:pt>
                <c:pt idx="107">
                  <c:v>8</c:v>
                </c:pt>
                <c:pt idx="108">
                  <c:v>0</c:v>
                </c:pt>
                <c:pt idx="109">
                  <c:v>2</c:v>
                </c:pt>
                <c:pt idx="110">
                  <c:v>2</c:v>
                </c:pt>
                <c:pt idx="111">
                  <c:v>4</c:v>
                </c:pt>
                <c:pt idx="112">
                  <c:v>0</c:v>
                </c:pt>
                <c:pt idx="113">
                  <c:v>2</c:v>
                </c:pt>
                <c:pt idx="114">
                  <c:v>3</c:v>
                </c:pt>
                <c:pt idx="115">
                  <c:v>17</c:v>
                </c:pt>
                <c:pt idx="116">
                  <c:v>4</c:v>
                </c:pt>
                <c:pt idx="117">
                  <c:v>7</c:v>
                </c:pt>
                <c:pt idx="118">
                  <c:v>5</c:v>
                </c:pt>
                <c:pt idx="119">
                  <c:v>1</c:v>
                </c:pt>
                <c:pt idx="120">
                  <c:v>1</c:v>
                </c:pt>
                <c:pt idx="121">
                  <c:v>0</c:v>
                </c:pt>
                <c:pt idx="122">
                  <c:v>1</c:v>
                </c:pt>
                <c:pt idx="123">
                  <c:v>2</c:v>
                </c:pt>
                <c:pt idx="124">
                  <c:v>3</c:v>
                </c:pt>
                <c:pt idx="125">
                  <c:v>2</c:v>
                </c:pt>
                <c:pt idx="126">
                  <c:v>5</c:v>
                </c:pt>
                <c:pt idx="127">
                  <c:v>1</c:v>
                </c:pt>
                <c:pt idx="128">
                  <c:v>2</c:v>
                </c:pt>
                <c:pt idx="129">
                  <c:v>6</c:v>
                </c:pt>
                <c:pt idx="130">
                  <c:v>1</c:v>
                </c:pt>
                <c:pt idx="131">
                  <c:v>0</c:v>
                </c:pt>
                <c:pt idx="132">
                  <c:v>1</c:v>
                </c:pt>
                <c:pt idx="133">
                  <c:v>1</c:v>
                </c:pt>
                <c:pt idx="134">
                  <c:v>7</c:v>
                </c:pt>
                <c:pt idx="135">
                  <c:v>2</c:v>
                </c:pt>
                <c:pt idx="136">
                  <c:v>1</c:v>
                </c:pt>
                <c:pt idx="137">
                  <c:v>1</c:v>
                </c:pt>
                <c:pt idx="138">
                  <c:v>2</c:v>
                </c:pt>
                <c:pt idx="139">
                  <c:v>7</c:v>
                </c:pt>
                <c:pt idx="140">
                  <c:v>5</c:v>
                </c:pt>
                <c:pt idx="141">
                  <c:v>0</c:v>
                </c:pt>
                <c:pt idx="142">
                  <c:v>3</c:v>
                </c:pt>
                <c:pt idx="143">
                  <c:v>1</c:v>
                </c:pt>
                <c:pt idx="144">
                  <c:v>1</c:v>
                </c:pt>
                <c:pt idx="145">
                  <c:v>0</c:v>
                </c:pt>
                <c:pt idx="146">
                  <c:v>1</c:v>
                </c:pt>
                <c:pt idx="147">
                  <c:v>3</c:v>
                </c:pt>
                <c:pt idx="148">
                  <c:v>4</c:v>
                </c:pt>
                <c:pt idx="149">
                  <c:v>2</c:v>
                </c:pt>
                <c:pt idx="150">
                  <c:v>6</c:v>
                </c:pt>
                <c:pt idx="151">
                  <c:v>3</c:v>
                </c:pt>
                <c:pt idx="152">
                  <c:v>0</c:v>
                </c:pt>
                <c:pt idx="153">
                  <c:v>8</c:v>
                </c:pt>
                <c:pt idx="154">
                  <c:v>2</c:v>
                </c:pt>
                <c:pt idx="155">
                  <c:v>8</c:v>
                </c:pt>
                <c:pt idx="156">
                  <c:v>0</c:v>
                </c:pt>
                <c:pt idx="157">
                  <c:v>1</c:v>
                </c:pt>
                <c:pt idx="158">
                  <c:v>5</c:v>
                </c:pt>
                <c:pt idx="159">
                  <c:v>0</c:v>
                </c:pt>
                <c:pt idx="160">
                  <c:v>0</c:v>
                </c:pt>
                <c:pt idx="161">
                  <c:v>6</c:v>
                </c:pt>
                <c:pt idx="162">
                  <c:v>2</c:v>
                </c:pt>
                <c:pt idx="163">
                  <c:v>1</c:v>
                </c:pt>
                <c:pt idx="164">
                  <c:v>6</c:v>
                </c:pt>
                <c:pt idx="165">
                  <c:v>2</c:v>
                </c:pt>
                <c:pt idx="166">
                  <c:v>11</c:v>
                </c:pt>
                <c:pt idx="167">
                  <c:v>0</c:v>
                </c:pt>
                <c:pt idx="168">
                  <c:v>6</c:v>
                </c:pt>
                <c:pt idx="169">
                  <c:v>8</c:v>
                </c:pt>
                <c:pt idx="170">
                  <c:v>2</c:v>
                </c:pt>
                <c:pt idx="171">
                  <c:v>7</c:v>
                </c:pt>
                <c:pt idx="172">
                  <c:v>3</c:v>
                </c:pt>
                <c:pt idx="173">
                  <c:v>3</c:v>
                </c:pt>
                <c:pt idx="174">
                  <c:v>0</c:v>
                </c:pt>
                <c:pt idx="175">
                  <c:v>6</c:v>
                </c:pt>
                <c:pt idx="176">
                  <c:v>4</c:v>
                </c:pt>
                <c:pt idx="177">
                  <c:v>2</c:v>
                </c:pt>
                <c:pt idx="178">
                  <c:v>1</c:v>
                </c:pt>
                <c:pt idx="179">
                  <c:v>4</c:v>
                </c:pt>
                <c:pt idx="180">
                  <c:v>3</c:v>
                </c:pt>
                <c:pt idx="181">
                  <c:v>7</c:v>
                </c:pt>
                <c:pt idx="182">
                  <c:v>2</c:v>
                </c:pt>
                <c:pt idx="183">
                  <c:v>1</c:v>
                </c:pt>
                <c:pt idx="184">
                  <c:v>0</c:v>
                </c:pt>
                <c:pt idx="185">
                  <c:v>5</c:v>
                </c:pt>
                <c:pt idx="186">
                  <c:v>2</c:v>
                </c:pt>
                <c:pt idx="187">
                  <c:v>0</c:v>
                </c:pt>
                <c:pt idx="188">
                  <c:v>1</c:v>
                </c:pt>
                <c:pt idx="189">
                  <c:v>0</c:v>
                </c:pt>
                <c:pt idx="190">
                  <c:v>3</c:v>
                </c:pt>
                <c:pt idx="191">
                  <c:v>4</c:v>
                </c:pt>
                <c:pt idx="192">
                  <c:v>3</c:v>
                </c:pt>
                <c:pt idx="193">
                  <c:v>3</c:v>
                </c:pt>
                <c:pt idx="194">
                  <c:v>8</c:v>
                </c:pt>
                <c:pt idx="195">
                  <c:v>1</c:v>
                </c:pt>
                <c:pt idx="196">
                  <c:v>1</c:v>
                </c:pt>
                <c:pt idx="197">
                  <c:v>3</c:v>
                </c:pt>
                <c:pt idx="198">
                  <c:v>5</c:v>
                </c:pt>
                <c:pt idx="199">
                  <c:v>0</c:v>
                </c:pt>
                <c:pt idx="200">
                  <c:v>0</c:v>
                </c:pt>
                <c:pt idx="201">
                  <c:v>2</c:v>
                </c:pt>
                <c:pt idx="202">
                  <c:v>2</c:v>
                </c:pt>
                <c:pt idx="203">
                  <c:v>7</c:v>
                </c:pt>
                <c:pt idx="204">
                  <c:v>6</c:v>
                </c:pt>
                <c:pt idx="205">
                  <c:v>8</c:v>
                </c:pt>
                <c:pt idx="206">
                  <c:v>7</c:v>
                </c:pt>
                <c:pt idx="207">
                  <c:v>6</c:v>
                </c:pt>
                <c:pt idx="208">
                  <c:v>0</c:v>
                </c:pt>
                <c:pt idx="209">
                  <c:v>8</c:v>
                </c:pt>
                <c:pt idx="210">
                  <c:v>0</c:v>
                </c:pt>
                <c:pt idx="211">
                  <c:v>4</c:v>
                </c:pt>
                <c:pt idx="212">
                  <c:v>0</c:v>
                </c:pt>
                <c:pt idx="213">
                  <c:v>3</c:v>
                </c:pt>
                <c:pt idx="214">
                  <c:v>1</c:v>
                </c:pt>
                <c:pt idx="215">
                  <c:v>4</c:v>
                </c:pt>
                <c:pt idx="216">
                  <c:v>2</c:v>
                </c:pt>
                <c:pt idx="217">
                  <c:v>6</c:v>
                </c:pt>
                <c:pt idx="218">
                  <c:v>2</c:v>
                </c:pt>
                <c:pt idx="219">
                  <c:v>1</c:v>
                </c:pt>
                <c:pt idx="220">
                  <c:v>8</c:v>
                </c:pt>
                <c:pt idx="221">
                  <c:v>2</c:v>
                </c:pt>
                <c:pt idx="222">
                  <c:v>2</c:v>
                </c:pt>
                <c:pt idx="223">
                  <c:v>0</c:v>
                </c:pt>
                <c:pt idx="224">
                  <c:v>7</c:v>
                </c:pt>
                <c:pt idx="225">
                  <c:v>1</c:v>
                </c:pt>
                <c:pt idx="226">
                  <c:v>0</c:v>
                </c:pt>
                <c:pt idx="227">
                  <c:v>1</c:v>
                </c:pt>
                <c:pt idx="228">
                  <c:v>1</c:v>
                </c:pt>
                <c:pt idx="229">
                  <c:v>6</c:v>
                </c:pt>
                <c:pt idx="230">
                  <c:v>2</c:v>
                </c:pt>
                <c:pt idx="231">
                  <c:v>1</c:v>
                </c:pt>
                <c:pt idx="232">
                  <c:v>8</c:v>
                </c:pt>
                <c:pt idx="233">
                  <c:v>5</c:v>
                </c:pt>
                <c:pt idx="234">
                  <c:v>1</c:v>
                </c:pt>
                <c:pt idx="235">
                  <c:v>1</c:v>
                </c:pt>
                <c:pt idx="236">
                  <c:v>8</c:v>
                </c:pt>
                <c:pt idx="237">
                  <c:v>2</c:v>
                </c:pt>
                <c:pt idx="238">
                  <c:v>0</c:v>
                </c:pt>
                <c:pt idx="239">
                  <c:v>1</c:v>
                </c:pt>
                <c:pt idx="240">
                  <c:v>5</c:v>
                </c:pt>
                <c:pt idx="241">
                  <c:v>2</c:v>
                </c:pt>
                <c:pt idx="242">
                  <c:v>11</c:v>
                </c:pt>
                <c:pt idx="243">
                  <c:v>4</c:v>
                </c:pt>
                <c:pt idx="244">
                  <c:v>1</c:v>
                </c:pt>
                <c:pt idx="245">
                  <c:v>17</c:v>
                </c:pt>
                <c:pt idx="246">
                  <c:v>4</c:v>
                </c:pt>
                <c:pt idx="247">
                  <c:v>17</c:v>
                </c:pt>
                <c:pt idx="248">
                  <c:v>16</c:v>
                </c:pt>
                <c:pt idx="249">
                  <c:v>10</c:v>
                </c:pt>
                <c:pt idx="250">
                  <c:v>7</c:v>
                </c:pt>
                <c:pt idx="251">
                  <c:v>17</c:v>
                </c:pt>
                <c:pt idx="252">
                  <c:v>16</c:v>
                </c:pt>
                <c:pt idx="253">
                  <c:v>8</c:v>
                </c:pt>
                <c:pt idx="254">
                  <c:v>20</c:v>
                </c:pt>
                <c:pt idx="255">
                  <c:v>3</c:v>
                </c:pt>
                <c:pt idx="256">
                  <c:v>3</c:v>
                </c:pt>
                <c:pt idx="257">
                  <c:v>7</c:v>
                </c:pt>
                <c:pt idx="258">
                  <c:v>8</c:v>
                </c:pt>
                <c:pt idx="259">
                  <c:v>8</c:v>
                </c:pt>
                <c:pt idx="260">
                  <c:v>4</c:v>
                </c:pt>
                <c:pt idx="261">
                  <c:v>7</c:v>
                </c:pt>
                <c:pt idx="262">
                  <c:v>8</c:v>
                </c:pt>
                <c:pt idx="263">
                  <c:v>3</c:v>
                </c:pt>
                <c:pt idx="264">
                  <c:v>6</c:v>
                </c:pt>
                <c:pt idx="265">
                  <c:v>7</c:v>
                </c:pt>
                <c:pt idx="266">
                  <c:v>7</c:v>
                </c:pt>
                <c:pt idx="267">
                  <c:v>5</c:v>
                </c:pt>
                <c:pt idx="268">
                  <c:v>4</c:v>
                </c:pt>
                <c:pt idx="269">
                  <c:v>5</c:v>
                </c:pt>
                <c:pt idx="270">
                  <c:v>5</c:v>
                </c:pt>
                <c:pt idx="271">
                  <c:v>2</c:v>
                </c:pt>
                <c:pt idx="272">
                  <c:v>3</c:v>
                </c:pt>
                <c:pt idx="273">
                  <c:v>5</c:v>
                </c:pt>
                <c:pt idx="274">
                  <c:v>0</c:v>
                </c:pt>
                <c:pt idx="275">
                  <c:v>4</c:v>
                </c:pt>
                <c:pt idx="276">
                  <c:v>4</c:v>
                </c:pt>
                <c:pt idx="277">
                  <c:v>7</c:v>
                </c:pt>
                <c:pt idx="278">
                  <c:v>4</c:v>
                </c:pt>
                <c:pt idx="279">
                  <c:v>7</c:v>
                </c:pt>
                <c:pt idx="280">
                  <c:v>3</c:v>
                </c:pt>
                <c:pt idx="281">
                  <c:v>8</c:v>
                </c:pt>
                <c:pt idx="282">
                  <c:v>6</c:v>
                </c:pt>
                <c:pt idx="283">
                  <c:v>4</c:v>
                </c:pt>
                <c:pt idx="284">
                  <c:v>6</c:v>
                </c:pt>
                <c:pt idx="285">
                  <c:v>2</c:v>
                </c:pt>
                <c:pt idx="286">
                  <c:v>2</c:v>
                </c:pt>
                <c:pt idx="287">
                  <c:v>6</c:v>
                </c:pt>
                <c:pt idx="288">
                  <c:v>5</c:v>
                </c:pt>
                <c:pt idx="289">
                  <c:v>6</c:v>
                </c:pt>
                <c:pt idx="290">
                  <c:v>3</c:v>
                </c:pt>
                <c:pt idx="291">
                  <c:v>7</c:v>
                </c:pt>
                <c:pt idx="292">
                  <c:v>4</c:v>
                </c:pt>
                <c:pt idx="293">
                  <c:v>8</c:v>
                </c:pt>
                <c:pt idx="294">
                  <c:v>2</c:v>
                </c:pt>
                <c:pt idx="295">
                  <c:v>5</c:v>
                </c:pt>
                <c:pt idx="296">
                  <c:v>5</c:v>
                </c:pt>
                <c:pt idx="297">
                  <c:v>2</c:v>
                </c:pt>
                <c:pt idx="298">
                  <c:v>7</c:v>
                </c:pt>
                <c:pt idx="299">
                  <c:v>6</c:v>
                </c:pt>
                <c:pt idx="300">
                  <c:v>1</c:v>
                </c:pt>
                <c:pt idx="301">
                  <c:v>7</c:v>
                </c:pt>
                <c:pt idx="302">
                  <c:v>1</c:v>
                </c:pt>
                <c:pt idx="303">
                  <c:v>3</c:v>
                </c:pt>
                <c:pt idx="304">
                  <c:v>4</c:v>
                </c:pt>
                <c:pt idx="305">
                  <c:v>3</c:v>
                </c:pt>
                <c:pt idx="306">
                  <c:v>6</c:v>
                </c:pt>
                <c:pt idx="307">
                  <c:v>6</c:v>
                </c:pt>
                <c:pt idx="308">
                  <c:v>0</c:v>
                </c:pt>
                <c:pt idx="309">
                  <c:v>4</c:v>
                </c:pt>
                <c:pt idx="310">
                  <c:v>1</c:v>
                </c:pt>
                <c:pt idx="311">
                  <c:v>4</c:v>
                </c:pt>
                <c:pt idx="312">
                  <c:v>0</c:v>
                </c:pt>
                <c:pt idx="313">
                  <c:v>7</c:v>
                </c:pt>
                <c:pt idx="314">
                  <c:v>2</c:v>
                </c:pt>
                <c:pt idx="315">
                  <c:v>2</c:v>
                </c:pt>
                <c:pt idx="316">
                  <c:v>6</c:v>
                </c:pt>
                <c:pt idx="317">
                  <c:v>8</c:v>
                </c:pt>
                <c:pt idx="318">
                  <c:v>2</c:v>
                </c:pt>
                <c:pt idx="319">
                  <c:v>1</c:v>
                </c:pt>
                <c:pt idx="320">
                  <c:v>6</c:v>
                </c:pt>
                <c:pt idx="321">
                  <c:v>6</c:v>
                </c:pt>
                <c:pt idx="322">
                  <c:v>3</c:v>
                </c:pt>
                <c:pt idx="323">
                  <c:v>1</c:v>
                </c:pt>
                <c:pt idx="324">
                  <c:v>8</c:v>
                </c:pt>
                <c:pt idx="325">
                  <c:v>1</c:v>
                </c:pt>
                <c:pt idx="326">
                  <c:v>1</c:v>
                </c:pt>
                <c:pt idx="327">
                  <c:v>0</c:v>
                </c:pt>
                <c:pt idx="328">
                  <c:v>1</c:v>
                </c:pt>
                <c:pt idx="329">
                  <c:v>8</c:v>
                </c:pt>
                <c:pt idx="330">
                  <c:v>7</c:v>
                </c:pt>
                <c:pt idx="331">
                  <c:v>0</c:v>
                </c:pt>
                <c:pt idx="332">
                  <c:v>5</c:v>
                </c:pt>
                <c:pt idx="333">
                  <c:v>7</c:v>
                </c:pt>
                <c:pt idx="334">
                  <c:v>0</c:v>
                </c:pt>
                <c:pt idx="335">
                  <c:v>1</c:v>
                </c:pt>
                <c:pt idx="336">
                  <c:v>2</c:v>
                </c:pt>
                <c:pt idx="337">
                  <c:v>0</c:v>
                </c:pt>
                <c:pt idx="338">
                  <c:v>0</c:v>
                </c:pt>
                <c:pt idx="339">
                  <c:v>1</c:v>
                </c:pt>
                <c:pt idx="340">
                  <c:v>2</c:v>
                </c:pt>
                <c:pt idx="341">
                  <c:v>7</c:v>
                </c:pt>
                <c:pt idx="342">
                  <c:v>20</c:v>
                </c:pt>
                <c:pt idx="343">
                  <c:v>6</c:v>
                </c:pt>
                <c:pt idx="344">
                  <c:v>1</c:v>
                </c:pt>
                <c:pt idx="345">
                  <c:v>13</c:v>
                </c:pt>
                <c:pt idx="346">
                  <c:v>6</c:v>
                </c:pt>
                <c:pt idx="347">
                  <c:v>16</c:v>
                </c:pt>
                <c:pt idx="348">
                  <c:v>11</c:v>
                </c:pt>
                <c:pt idx="349">
                  <c:v>14</c:v>
                </c:pt>
                <c:pt idx="350">
                  <c:v>4</c:v>
                </c:pt>
                <c:pt idx="351">
                  <c:v>19</c:v>
                </c:pt>
                <c:pt idx="352">
                  <c:v>17</c:v>
                </c:pt>
                <c:pt idx="353">
                  <c:v>7</c:v>
                </c:pt>
                <c:pt idx="354">
                  <c:v>19</c:v>
                </c:pt>
                <c:pt idx="355">
                  <c:v>5</c:v>
                </c:pt>
                <c:pt idx="356">
                  <c:v>5</c:v>
                </c:pt>
                <c:pt idx="357">
                  <c:v>3</c:v>
                </c:pt>
                <c:pt idx="358">
                  <c:v>7</c:v>
                </c:pt>
                <c:pt idx="359">
                  <c:v>6</c:v>
                </c:pt>
                <c:pt idx="360">
                  <c:v>8</c:v>
                </c:pt>
                <c:pt idx="361">
                  <c:v>4</c:v>
                </c:pt>
                <c:pt idx="362">
                  <c:v>5</c:v>
                </c:pt>
                <c:pt idx="363">
                  <c:v>5</c:v>
                </c:pt>
                <c:pt idx="364">
                  <c:v>5</c:v>
                </c:pt>
                <c:pt idx="365">
                  <c:v>6</c:v>
                </c:pt>
                <c:pt idx="366">
                  <c:v>2</c:v>
                </c:pt>
                <c:pt idx="367">
                  <c:v>5</c:v>
                </c:pt>
                <c:pt idx="368">
                  <c:v>8</c:v>
                </c:pt>
                <c:pt idx="369">
                  <c:v>6</c:v>
                </c:pt>
                <c:pt idx="370">
                  <c:v>4</c:v>
                </c:pt>
                <c:pt idx="371">
                  <c:v>4</c:v>
                </c:pt>
                <c:pt idx="372">
                  <c:v>7</c:v>
                </c:pt>
                <c:pt idx="373">
                  <c:v>7</c:v>
                </c:pt>
                <c:pt idx="374">
                  <c:v>1</c:v>
                </c:pt>
                <c:pt idx="375">
                  <c:v>5</c:v>
                </c:pt>
                <c:pt idx="376">
                  <c:v>6</c:v>
                </c:pt>
                <c:pt idx="377">
                  <c:v>6</c:v>
                </c:pt>
                <c:pt idx="378">
                  <c:v>8</c:v>
                </c:pt>
                <c:pt idx="379">
                  <c:v>5</c:v>
                </c:pt>
                <c:pt idx="380">
                  <c:v>4</c:v>
                </c:pt>
                <c:pt idx="381">
                  <c:v>3</c:v>
                </c:pt>
                <c:pt idx="382">
                  <c:v>7</c:v>
                </c:pt>
                <c:pt idx="383">
                  <c:v>4</c:v>
                </c:pt>
                <c:pt idx="384">
                  <c:v>8</c:v>
                </c:pt>
                <c:pt idx="385">
                  <c:v>8</c:v>
                </c:pt>
                <c:pt idx="386">
                  <c:v>7</c:v>
                </c:pt>
                <c:pt idx="387">
                  <c:v>4</c:v>
                </c:pt>
                <c:pt idx="388">
                  <c:v>4</c:v>
                </c:pt>
                <c:pt idx="389">
                  <c:v>6</c:v>
                </c:pt>
                <c:pt idx="390">
                  <c:v>5</c:v>
                </c:pt>
                <c:pt idx="391">
                  <c:v>2</c:v>
                </c:pt>
                <c:pt idx="392">
                  <c:v>4</c:v>
                </c:pt>
                <c:pt idx="393">
                  <c:v>8</c:v>
                </c:pt>
                <c:pt idx="394">
                  <c:v>2</c:v>
                </c:pt>
                <c:pt idx="395">
                  <c:v>7</c:v>
                </c:pt>
                <c:pt idx="396">
                  <c:v>6</c:v>
                </c:pt>
                <c:pt idx="397">
                  <c:v>7</c:v>
                </c:pt>
                <c:pt idx="398">
                  <c:v>7</c:v>
                </c:pt>
                <c:pt idx="399">
                  <c:v>6</c:v>
                </c:pt>
              </c:numCache>
            </c:numRef>
          </c:yVal>
        </c:ser>
        <c:axId val="50040001"/>
        <c:axId val="50040002"/>
      </c:scatterChart>
      <c:valAx>
        <c:axId val="50040001"/>
        <c:scaling>
          <c:orientation val="minMax"/>
          <c:max val="30"/>
          <c:min val="0"/>
        </c:scaling>
        <c:axPos val="b"/>
        <c:title>
          <c:tx>
            <c:rich>
              <a:bodyPr/>
              <a:lstStyle/>
              <a:p>
                <a:pPr>
                  <a:defRPr/>
                </a:pPr>
                <a:r>
                  <a:rPr lang="en-US"/>
                  <a:t>Años de experiencia del conductor (años)</a:t>
                </a:r>
              </a:p>
            </c:rich>
          </c:tx>
          <c:layout/>
        </c:title>
        <c:numFmt formatCode="General" sourceLinked="1"/>
        <c:tickLblPos val="nextTo"/>
        <c:crossAx val="50040002"/>
        <c:crosses val="autoZero"/>
        <c:crossBetween val="midCat"/>
        <c:majorUnit val="5"/>
      </c:valAx>
      <c:valAx>
        <c:axId val="50040002"/>
        <c:scaling>
          <c:orientation val="minMax"/>
          <c:max val="20"/>
          <c:min val="0"/>
        </c:scaling>
        <c:axPos val="l"/>
        <c:majorGridlines>
          <c:spPr>
            <a:ln>
              <a:solidFill>
                <a:srgbClr val="D9D9D9"/>
              </a:solidFill>
            </a:ln>
          </c:spPr>
        </c:majorGridlines>
        <c:title>
          <c:tx>
            <c:rich>
              <a:bodyPr rot="-5400000" vert="horz"/>
              <a:lstStyle/>
              <a:p>
                <a:pPr>
                  <a:defRPr/>
                </a:pPr>
                <a:r>
                  <a:rPr lang="en-US"/>
                  <a:t>Histórico de infracciones (número en los últimos 5 años)</a:t>
                </a:r>
              </a:p>
            </c:rich>
          </c:tx>
          <c:layout/>
        </c:title>
        <c:numFmt formatCode="General" sourceLinked="1"/>
        <c:tickLblPos val="nextTo"/>
        <c:crossAx val="50040001"/>
        <c:crosses val="autoZero"/>
        <c:crossBetween val="midCat"/>
        <c:majorUnit val="2"/>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0</xdr:rowOff>
    </xdr:from>
    <xdr:to>
      <xdr:col>4</xdr:col>
      <xdr:colOff>742950</xdr:colOff>
      <xdr:row>47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51</xdr:row>
      <xdr:rowOff>0</xdr:rowOff>
    </xdr:from>
    <xdr:to>
      <xdr:col>4</xdr:col>
      <xdr:colOff>742950</xdr:colOff>
      <xdr:row>71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75</xdr:row>
      <xdr:rowOff>0</xdr:rowOff>
    </xdr:from>
    <xdr:to>
      <xdr:col>4</xdr:col>
      <xdr:colOff>742950</xdr:colOff>
      <xdr:row>93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5</xdr:col>
      <xdr:colOff>333375</xdr:colOff>
      <xdr:row>39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pageSetUpPr fitToPage="1"/>
  </sheetPr>
  <dimension ref="A2:B13"/>
  <sheetViews>
    <sheetView showGridLines="0" tabSelected="1" workbookViewId="0"/>
  </sheetViews>
  <sheetFormatPr defaultRowHeight="15"/>
  <cols>
    <col min="1" max="1" width="24.7109375" customWidth="1"/>
    <col min="2" max="2" width="78.7109375" customWidth="1"/>
  </cols>
  <sheetData>
    <row r="2" spans="1:2">
      <c r="A2" s="1" t="s">
        <v>0</v>
      </c>
    </row>
    <row r="3" spans="1:2">
      <c r="A3" s="2" t="s">
        <v>1</v>
      </c>
    </row>
    <row r="6" spans="1:2" ht="24" customHeight="1">
      <c r="A6" s="3" t="s">
        <v>2</v>
      </c>
      <c r="B6" s="4" t="s">
        <v>3</v>
      </c>
    </row>
    <row r="7" spans="1:2" ht="24" customHeight="1">
      <c r="A7" s="3" t="s">
        <v>4</v>
      </c>
      <c r="B7" s="4" t="s">
        <v>5</v>
      </c>
    </row>
    <row r="8" spans="1:2" ht="24" customHeight="1">
      <c r="A8" s="3" t="s">
        <v>6</v>
      </c>
      <c r="B8" s="4" t="s">
        <v>7</v>
      </c>
    </row>
    <row r="9" spans="1:2" ht="24" customHeight="1">
      <c r="A9" s="3" t="s">
        <v>8</v>
      </c>
      <c r="B9" s="4" t="s">
        <v>9</v>
      </c>
    </row>
    <row r="10" spans="1:2" ht="24" customHeight="1">
      <c r="A10" s="3" t="s">
        <v>10</v>
      </c>
      <c r="B10" s="4" t="s">
        <v>11</v>
      </c>
    </row>
    <row r="11" spans="1:2" ht="24" customHeight="1">
      <c r="A11" s="3" t="s">
        <v>12</v>
      </c>
      <c r="B11" s="4" t="s">
        <v>13</v>
      </c>
    </row>
    <row r="12" spans="1:2" ht="24" customHeight="1">
      <c r="A12" s="3" t="s">
        <v>14</v>
      </c>
      <c r="B12" s="5" t="s">
        <v>15</v>
      </c>
    </row>
    <row r="13" spans="1:2" ht="24" customHeight="1">
      <c r="A13" s="3" t="s">
        <v>16</v>
      </c>
      <c r="B13" s="5" t="s">
        <v>17</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A5"/>
  <sheetViews>
    <sheetView showGridLines="0" workbookViewId="0"/>
  </sheetViews>
  <sheetFormatPr defaultRowHeight="15"/>
  <cols>
    <col min="1" max="1" width="110.7109375" customWidth="1"/>
  </cols>
  <sheetData>
    <row r="1" spans="1:1" ht="26" customHeight="1">
      <c r="A1" s="6" t="s">
        <v>18</v>
      </c>
    </row>
    <row r="3" spans="1:1" ht="63" customHeight="1">
      <c r="A3" s="7" t="s">
        <v>19</v>
      </c>
    </row>
    <row r="5" spans="1:1" ht="78" customHeight="1">
      <c r="A5" s="7" t="s">
        <v>20</v>
      </c>
    </row>
  </sheetData>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A9"/>
  <sheetViews>
    <sheetView showGridLines="0" workbookViewId="0"/>
  </sheetViews>
  <sheetFormatPr defaultRowHeight="15"/>
  <cols>
    <col min="1" max="1" width="110.7109375" customWidth="1"/>
  </cols>
  <sheetData>
    <row r="1" spans="1:1" ht="26" customHeight="1">
      <c r="A1" s="6" t="s">
        <v>21</v>
      </c>
    </row>
    <row r="3" spans="1:1" ht="63" customHeight="1">
      <c r="A3" s="7" t="s">
        <v>22</v>
      </c>
    </row>
    <row r="5" spans="1:1" ht="63" customHeight="1">
      <c r="A5" s="7" t="s">
        <v>23</v>
      </c>
    </row>
    <row r="7" spans="1:1" ht="48" customHeight="1">
      <c r="A7" s="7" t="s">
        <v>24</v>
      </c>
    </row>
    <row r="9" spans="1:1" ht="63" customHeight="1">
      <c r="A9" s="7" t="s">
        <v>25</v>
      </c>
    </row>
  </sheetData>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A9"/>
  <sheetViews>
    <sheetView showGridLines="0" workbookViewId="0"/>
  </sheetViews>
  <sheetFormatPr defaultRowHeight="15"/>
  <cols>
    <col min="1" max="1" width="110.7109375" customWidth="1"/>
  </cols>
  <sheetData>
    <row r="1" spans="1:1" ht="26" customHeight="1">
      <c r="A1" s="6" t="s">
        <v>26</v>
      </c>
    </row>
    <row r="3" spans="1:1">
      <c r="A3" s="8" t="s">
        <v>27</v>
      </c>
    </row>
    <row r="4" spans="1:1" ht="33" customHeight="1">
      <c r="A4" s="7" t="s">
        <v>28</v>
      </c>
    </row>
    <row r="6" spans="1:1">
      <c r="A6" s="8" t="s">
        <v>29</v>
      </c>
    </row>
    <row r="7" spans="1:1" ht="33" customHeight="1">
      <c r="A7" s="9" t="s">
        <v>30</v>
      </c>
    </row>
    <row r="8" spans="1:1" ht="48" customHeight="1">
      <c r="A8" s="9" t="s">
        <v>31</v>
      </c>
    </row>
    <row r="9" spans="1:1" ht="48" customHeight="1">
      <c r="A9" s="9" t="s">
        <v>32</v>
      </c>
    </row>
  </sheetData>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pageSetUpPr fitToPage="1"/>
  </sheetPr>
  <dimension ref="A1:C24"/>
  <sheetViews>
    <sheetView showGridLines="0" workbookViewId="0"/>
  </sheetViews>
  <sheetFormatPr defaultRowHeight="15"/>
  <cols>
    <col min="1" max="1" width="24.7109375" customWidth="1"/>
    <col min="2" max="3" width="72.7109375" customWidth="1"/>
  </cols>
  <sheetData>
    <row r="1" spans="1:3" ht="26" customHeight="1">
      <c r="A1" s="6" t="s">
        <v>33</v>
      </c>
    </row>
    <row r="3" spans="1:3">
      <c r="A3" s="8" t="s">
        <v>34</v>
      </c>
    </row>
    <row r="4" spans="1:3">
      <c r="A4" s="10" t="s">
        <v>35</v>
      </c>
      <c r="B4" s="10" t="s">
        <v>36</v>
      </c>
      <c r="C4" s="10" t="s">
        <v>37</v>
      </c>
    </row>
    <row r="5" spans="1:3" ht="48" customHeight="1">
      <c r="A5" s="11" t="s">
        <v>38</v>
      </c>
      <c r="B5" s="12" t="s">
        <v>39</v>
      </c>
      <c r="C5" s="12" t="s">
        <v>40</v>
      </c>
    </row>
    <row r="6" spans="1:3" ht="63" customHeight="1">
      <c r="A6" s="11" t="s">
        <v>41</v>
      </c>
      <c r="B6" s="12" t="s">
        <v>42</v>
      </c>
      <c r="C6" s="12" t="s">
        <v>43</v>
      </c>
    </row>
    <row r="7" spans="1:3" ht="63" customHeight="1">
      <c r="A7" s="11" t="s">
        <v>44</v>
      </c>
      <c r="B7" s="12" t="s">
        <v>45</v>
      </c>
      <c r="C7" s="12" t="s">
        <v>46</v>
      </c>
    </row>
    <row r="8" spans="1:3" ht="93" customHeight="1">
      <c r="A8" s="11" t="s">
        <v>47</v>
      </c>
      <c r="B8" s="12" t="s">
        <v>48</v>
      </c>
      <c r="C8" s="12" t="s">
        <v>49</v>
      </c>
    </row>
    <row r="9" spans="1:3" ht="108" customHeight="1">
      <c r="A9" s="11" t="s">
        <v>50</v>
      </c>
      <c r="B9" s="12" t="s">
        <v>51</v>
      </c>
      <c r="C9" s="12" t="s">
        <v>52</v>
      </c>
    </row>
    <row r="10" spans="1:3" ht="93" customHeight="1">
      <c r="A10" s="11" t="s">
        <v>53</v>
      </c>
      <c r="B10" s="12" t="s">
        <v>54</v>
      </c>
      <c r="C10" s="12" t="s">
        <v>55</v>
      </c>
    </row>
    <row r="12" spans="1:3">
      <c r="A12" s="8" t="s">
        <v>56</v>
      </c>
    </row>
    <row r="13" spans="1:3">
      <c r="A13" s="13" t="s">
        <v>57</v>
      </c>
      <c r="B13" s="13"/>
      <c r="C13" s="13"/>
    </row>
    <row r="14" spans="1:3">
      <c r="A14" s="13"/>
      <c r="B14" s="13"/>
      <c r="C14" s="13"/>
    </row>
    <row r="15" spans="1:3">
      <c r="A15" s="13"/>
      <c r="B15" s="13"/>
      <c r="C15" s="13"/>
    </row>
    <row r="16" spans="1:3">
      <c r="A16" s="13"/>
      <c r="B16" s="13"/>
      <c r="C16" s="13"/>
    </row>
    <row r="17" spans="1:3">
      <c r="A17" s="13"/>
      <c r="B17" s="13"/>
      <c r="C17" s="13"/>
    </row>
    <row r="18" spans="1:3">
      <c r="A18" s="13"/>
      <c r="B18" s="13"/>
      <c r="C18" s="13"/>
    </row>
    <row r="19" spans="1:3">
      <c r="A19" s="13"/>
      <c r="B19" s="13"/>
      <c r="C19" s="13"/>
    </row>
    <row r="20" spans="1:3">
      <c r="A20" s="13"/>
      <c r="B20" s="13"/>
      <c r="C20" s="13"/>
    </row>
    <row r="21" spans="1:3">
      <c r="A21" s="13"/>
      <c r="B21" s="13"/>
      <c r="C21" s="13"/>
    </row>
    <row r="22" spans="1:3">
      <c r="A22" s="13"/>
      <c r="B22" s="13"/>
      <c r="C22" s="13"/>
    </row>
    <row r="23" spans="1:3">
      <c r="A23" s="13"/>
      <c r="B23" s="13"/>
      <c r="C23" s="13"/>
    </row>
    <row r="24" spans="1:3">
      <c r="A24" s="13"/>
      <c r="B24" s="13"/>
      <c r="C24" s="13"/>
    </row>
  </sheetData>
  <mergeCells count="1">
    <mergeCell ref="A13:C24"/>
  </mergeCell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dimension ref="A1:M151"/>
  <sheetViews>
    <sheetView workbookViewId="0"/>
  </sheetViews>
  <sheetFormatPr defaultRowHeight="15"/>
  <cols>
    <col min="1" max="1" width="44.7109375" customWidth="1"/>
    <col min="2" max="10" width="14.7109375" customWidth="1"/>
    <col min="12" max="13" width="12.7109375" customWidth="1"/>
  </cols>
  <sheetData>
    <row r="1" spans="1:13" ht="26" customHeight="1">
      <c r="A1" s="6" t="s">
        <v>58</v>
      </c>
    </row>
    <row r="2" spans="1:13">
      <c r="A2" t="s">
        <v>59</v>
      </c>
    </row>
    <row r="4" spans="1:13">
      <c r="A4" s="14" t="s">
        <v>60</v>
      </c>
    </row>
    <row r="6" spans="1:13">
      <c r="A6" s="15" t="s">
        <v>61</v>
      </c>
      <c r="B6" s="16">
        <f>COUNT(DATOS!$E$2:$E$401)</f>
        <v>400</v>
      </c>
    </row>
    <row r="7" spans="1:13">
      <c r="A7" s="15" t="s">
        <v>62</v>
      </c>
      <c r="B7" s="17">
        <f>MIN(DATOS!$E$2:$E$401)</f>
        <v>32.1</v>
      </c>
    </row>
    <row r="8" spans="1:13">
      <c r="A8" s="15" t="s">
        <v>63</v>
      </c>
      <c r="B8" s="17">
        <f>MAX(DATOS!$E$2:$E$401)</f>
        <v>140.8</v>
      </c>
    </row>
    <row r="9" spans="1:13">
      <c r="A9" s="15" t="s">
        <v>64</v>
      </c>
      <c r="B9" s="17">
        <f>B8-B7</f>
        <v>108.70000000000002</v>
      </c>
    </row>
    <row r="10" spans="1:13">
      <c r="A10" s="15" t="s">
        <v>65</v>
      </c>
      <c r="B10" s="16">
        <f>ROUNDUP(1+LOG(B6,2),0)</f>
        <v>10</v>
      </c>
    </row>
    <row r="11" spans="1:13">
      <c r="A11" s="15" t="s">
        <v>66</v>
      </c>
      <c r="B11" s="18">
        <f>B9/B10</f>
        <v>10.870000000000001</v>
      </c>
    </row>
    <row r="12" spans="1:13">
      <c r="A12" s="15" t="s">
        <v>67</v>
      </c>
      <c r="B12" s="19">
        <v>11</v>
      </c>
    </row>
    <row r="13" spans="1:13">
      <c r="A13" s="15" t="s">
        <v>68</v>
      </c>
      <c r="B13" s="19">
        <v>32</v>
      </c>
    </row>
    <row r="14" spans="1:13">
      <c r="L14" s="15" t="s">
        <v>91</v>
      </c>
    </row>
    <row r="15" spans="1:13" ht="32" customHeight="1">
      <c r="A15" s="10" t="s">
        <v>69</v>
      </c>
      <c r="B15" s="10" t="s">
        <v>70</v>
      </c>
      <c r="C15" s="10" t="s">
        <v>71</v>
      </c>
      <c r="D15" s="10" t="s">
        <v>72</v>
      </c>
      <c r="E15" s="10" t="s">
        <v>73</v>
      </c>
      <c r="F15" s="10" t="s">
        <v>74</v>
      </c>
      <c r="G15" s="10" t="s">
        <v>75</v>
      </c>
      <c r="H15" s="10" t="s">
        <v>76</v>
      </c>
      <c r="I15" s="10" t="s">
        <v>77</v>
      </c>
      <c r="J15" s="10" t="s">
        <v>78</v>
      </c>
      <c r="L15" s="20" t="s">
        <v>92</v>
      </c>
      <c r="M15" s="20" t="s">
        <v>73</v>
      </c>
    </row>
    <row r="16" spans="1:13">
      <c r="A16" s="21" t="s">
        <v>79</v>
      </c>
      <c r="B16" s="17">
        <f>B13</f>
        <v>32.0</v>
      </c>
      <c r="C16" s="17">
        <f>B16+$B$12</f>
        <v>43.0</v>
      </c>
      <c r="D16" s="17">
        <f>(B16+C16)/2</f>
        <v>37.5</v>
      </c>
      <c r="E16" s="16">
        <f>COUNTIFS(DATOS!$E$2:$E$401,"&gt;="&amp;B16,DATOS!$E$2:$E$401,"&lt;"&amp;C16)</f>
        <v>34</v>
      </c>
      <c r="F16" s="16">
        <f>E16</f>
        <v>34</v>
      </c>
      <c r="G16" s="22">
        <f>E16/$B$6</f>
        <v>0.085</v>
      </c>
      <c r="H16" s="22">
        <f>F16/$B$6</f>
        <v>0.085</v>
      </c>
      <c r="I16" s="18">
        <f>G16*100</f>
        <v>8.5</v>
      </c>
      <c r="J16" s="18">
        <f>H16*100</f>
        <v>8.5</v>
      </c>
      <c r="L16" s="17">
        <f>D16-$B$12</f>
        <v>26.5</v>
      </c>
      <c r="M16" s="16">
        <v>0</v>
      </c>
    </row>
    <row r="17" spans="1:13">
      <c r="A17" s="21" t="s">
        <v>80</v>
      </c>
      <c r="B17" s="17">
        <f>C16</f>
        <v>43.0</v>
      </c>
      <c r="C17" s="17">
        <f>B17+$B$12</f>
        <v>54.0</v>
      </c>
      <c r="D17" s="17">
        <f>(B17+C17)/2</f>
        <v>48.5</v>
      </c>
      <c r="E17" s="16">
        <f>COUNTIFS(DATOS!$E$2:$E$401,"&gt;="&amp;B17,DATOS!$E$2:$E$401,"&lt;"&amp;C17)</f>
        <v>40</v>
      </c>
      <c r="F17" s="16">
        <f>F16+E17</f>
        <v>74</v>
      </c>
      <c r="G17" s="22">
        <f>E17/$B$6</f>
        <v>0.1</v>
      </c>
      <c r="H17" s="22">
        <f>F17/$B$6</f>
        <v>0.185</v>
      </c>
      <c r="I17" s="18">
        <f>G17*100</f>
        <v>10.0</v>
      </c>
      <c r="J17" s="18">
        <f>H17*100</f>
        <v>18.5</v>
      </c>
      <c r="L17" s="17">
        <f>D16</f>
        <v>37.5</v>
      </c>
      <c r="M17" s="16">
        <f>E16</f>
        <v>34</v>
      </c>
    </row>
    <row r="18" spans="1:13">
      <c r="A18" s="21" t="s">
        <v>81</v>
      </c>
      <c r="B18" s="17">
        <f>C17</f>
        <v>54.0</v>
      </c>
      <c r="C18" s="17">
        <f>B18+$B$12</f>
        <v>65.0</v>
      </c>
      <c r="D18" s="17">
        <f>(B18+C18)/2</f>
        <v>59.5</v>
      </c>
      <c r="E18" s="16">
        <f>COUNTIFS(DATOS!$E$2:$E$401,"&gt;="&amp;B18,DATOS!$E$2:$E$401,"&lt;"&amp;C18)</f>
        <v>18</v>
      </c>
      <c r="F18" s="16">
        <f>F17+E18</f>
        <v>92</v>
      </c>
      <c r="G18" s="22">
        <f>E18/$B$6</f>
        <v>0.045</v>
      </c>
      <c r="H18" s="22">
        <f>F18/$B$6</f>
        <v>0.23</v>
      </c>
      <c r="I18" s="18">
        <f>G18*100</f>
        <v>4.5</v>
      </c>
      <c r="J18" s="18">
        <f>H18*100</f>
        <v>23.0</v>
      </c>
      <c r="L18" s="17">
        <f>D17</f>
        <v>48.5</v>
      </c>
      <c r="M18" s="16">
        <f>E17</f>
        <v>40</v>
      </c>
    </row>
    <row r="19" spans="1:13">
      <c r="A19" s="21" t="s">
        <v>82</v>
      </c>
      <c r="B19" s="17">
        <f>C18</f>
        <v>65.0</v>
      </c>
      <c r="C19" s="17">
        <f>B19+$B$12</f>
        <v>76.0</v>
      </c>
      <c r="D19" s="17">
        <f>(B19+C19)/2</f>
        <v>70.5</v>
      </c>
      <c r="E19" s="16">
        <f>COUNTIFS(DATOS!$E$2:$E$401,"&gt;="&amp;B19,DATOS!$E$2:$E$401,"&lt;"&amp;C19)</f>
        <v>38</v>
      </c>
      <c r="F19" s="16">
        <f>F18+E19</f>
        <v>130</v>
      </c>
      <c r="G19" s="22">
        <f>E19/$B$6</f>
        <v>0.095</v>
      </c>
      <c r="H19" s="22">
        <f>F19/$B$6</f>
        <v>0.325</v>
      </c>
      <c r="I19" s="18">
        <f>G19*100</f>
        <v>9.5</v>
      </c>
      <c r="J19" s="18">
        <f>H19*100</f>
        <v>32.5</v>
      </c>
      <c r="L19" s="17">
        <f>D18</f>
        <v>59.5</v>
      </c>
      <c r="M19" s="16">
        <f>E18</f>
        <v>18</v>
      </c>
    </row>
    <row r="20" spans="1:13">
      <c r="A20" s="21" t="s">
        <v>83</v>
      </c>
      <c r="B20" s="17">
        <f>C19</f>
        <v>76.0</v>
      </c>
      <c r="C20" s="17">
        <f>B20+$B$12</f>
        <v>87.0</v>
      </c>
      <c r="D20" s="17">
        <f>(B20+C20)/2</f>
        <v>81.5</v>
      </c>
      <c r="E20" s="16">
        <f>COUNTIFS(DATOS!$E$2:$E$401,"&gt;="&amp;B20,DATOS!$E$2:$E$401,"&lt;"&amp;C20)</f>
        <v>40</v>
      </c>
      <c r="F20" s="16">
        <f>F19+E20</f>
        <v>170</v>
      </c>
      <c r="G20" s="22">
        <f>E20/$B$6</f>
        <v>0.1</v>
      </c>
      <c r="H20" s="22">
        <f>F20/$B$6</f>
        <v>0.425</v>
      </c>
      <c r="I20" s="18">
        <f>G20*100</f>
        <v>10.0</v>
      </c>
      <c r="J20" s="18">
        <f>H20*100</f>
        <v>42.5</v>
      </c>
      <c r="L20" s="17">
        <f>D19</f>
        <v>70.5</v>
      </c>
      <c r="M20" s="16">
        <f>E19</f>
        <v>38</v>
      </c>
    </row>
    <row r="21" spans="1:13">
      <c r="A21" s="21" t="s">
        <v>84</v>
      </c>
      <c r="B21" s="17">
        <f>C20</f>
        <v>87.0</v>
      </c>
      <c r="C21" s="17">
        <f>B21+$B$12</f>
        <v>98.0</v>
      </c>
      <c r="D21" s="17">
        <f>(B21+C21)/2</f>
        <v>92.5</v>
      </c>
      <c r="E21" s="16">
        <f>COUNTIFS(DATOS!$E$2:$E$401,"&gt;="&amp;B21,DATOS!$E$2:$E$401,"&lt;"&amp;C21)</f>
        <v>50</v>
      </c>
      <c r="F21" s="16">
        <f>F20+E21</f>
        <v>220</v>
      </c>
      <c r="G21" s="22">
        <f>E21/$B$6</f>
        <v>0.125</v>
      </c>
      <c r="H21" s="22">
        <f>F21/$B$6</f>
        <v>0.55</v>
      </c>
      <c r="I21" s="18">
        <f>G21*100</f>
        <v>12.5</v>
      </c>
      <c r="J21" s="18">
        <f>H21*100</f>
        <v>55.00000000000001</v>
      </c>
      <c r="L21" s="17">
        <f>D20</f>
        <v>81.5</v>
      </c>
      <c r="M21" s="16">
        <f>E20</f>
        <v>40</v>
      </c>
    </row>
    <row r="22" spans="1:13">
      <c r="A22" s="21" t="s">
        <v>85</v>
      </c>
      <c r="B22" s="17">
        <f>C21</f>
        <v>98.0</v>
      </c>
      <c r="C22" s="17">
        <f>B22+$B$12</f>
        <v>109.0</v>
      </c>
      <c r="D22" s="17">
        <f>(B22+C22)/2</f>
        <v>103.5</v>
      </c>
      <c r="E22" s="16">
        <f>COUNTIFS(DATOS!$E$2:$E$401,"&gt;="&amp;B22,DATOS!$E$2:$E$401,"&lt;"&amp;C22)</f>
        <v>48</v>
      </c>
      <c r="F22" s="16">
        <f>F21+E22</f>
        <v>268</v>
      </c>
      <c r="G22" s="22">
        <f>E22/$B$6</f>
        <v>0.12</v>
      </c>
      <c r="H22" s="22">
        <f>F22/$B$6</f>
        <v>0.67</v>
      </c>
      <c r="I22" s="18">
        <f>G22*100</f>
        <v>12.0</v>
      </c>
      <c r="J22" s="18">
        <f>H22*100</f>
        <v>67.0</v>
      </c>
      <c r="L22" s="17">
        <f>D21</f>
        <v>92.5</v>
      </c>
      <c r="M22" s="16">
        <f>E21</f>
        <v>50</v>
      </c>
    </row>
    <row r="23" spans="1:13">
      <c r="A23" s="21" t="s">
        <v>86</v>
      </c>
      <c r="B23" s="17">
        <f>C22</f>
        <v>109.0</v>
      </c>
      <c r="C23" s="17">
        <f>B23+$B$12</f>
        <v>120.0</v>
      </c>
      <c r="D23" s="17">
        <f>(B23+C23)/2</f>
        <v>114.5</v>
      </c>
      <c r="E23" s="16">
        <f>COUNTIFS(DATOS!$E$2:$E$401,"&gt;="&amp;B23,DATOS!$E$2:$E$401,"&lt;"&amp;C23)</f>
        <v>62</v>
      </c>
      <c r="F23" s="16">
        <f>F22+E23</f>
        <v>330</v>
      </c>
      <c r="G23" s="22">
        <f>E23/$B$6</f>
        <v>0.155</v>
      </c>
      <c r="H23" s="22">
        <f>F23/$B$6</f>
        <v>0.825</v>
      </c>
      <c r="I23" s="18">
        <f>G23*100</f>
        <v>15.5</v>
      </c>
      <c r="J23" s="18">
        <f>H23*100</f>
        <v>82.5</v>
      </c>
      <c r="L23" s="17">
        <f>D22</f>
        <v>103.5</v>
      </c>
      <c r="M23" s="16">
        <f>E22</f>
        <v>48</v>
      </c>
    </row>
    <row r="24" spans="1:13">
      <c r="A24" s="21" t="s">
        <v>87</v>
      </c>
      <c r="B24" s="17">
        <f>C23</f>
        <v>120.0</v>
      </c>
      <c r="C24" s="17">
        <f>B24+$B$12</f>
        <v>131.0</v>
      </c>
      <c r="D24" s="17">
        <f>(B24+C24)/2</f>
        <v>125.5</v>
      </c>
      <c r="E24" s="16">
        <f>COUNTIFS(DATOS!$E$2:$E$401,"&gt;="&amp;B24,DATOS!$E$2:$E$401,"&lt;"&amp;C24)</f>
        <v>34</v>
      </c>
      <c r="F24" s="16">
        <f>F23+E24</f>
        <v>364</v>
      </c>
      <c r="G24" s="22">
        <f>E24/$B$6</f>
        <v>0.085</v>
      </c>
      <c r="H24" s="22">
        <f>F24/$B$6</f>
        <v>0.91</v>
      </c>
      <c r="I24" s="18">
        <f>G24*100</f>
        <v>8.5</v>
      </c>
      <c r="J24" s="18">
        <f>H24*100</f>
        <v>91.0</v>
      </c>
      <c r="L24" s="17">
        <f>D23</f>
        <v>114.5</v>
      </c>
      <c r="M24" s="16">
        <f>E23</f>
        <v>62</v>
      </c>
    </row>
    <row r="25" spans="1:13">
      <c r="A25" s="21" t="s">
        <v>88</v>
      </c>
      <c r="B25" s="17">
        <f>C24</f>
        <v>131.0</v>
      </c>
      <c r="C25" s="17">
        <f>B25+$B$12</f>
        <v>142.0</v>
      </c>
      <c r="D25" s="17">
        <f>(B25+C25)/2</f>
        <v>136.5</v>
      </c>
      <c r="E25" s="16">
        <f>COUNTIFS(DATOS!$E$2:$E$401,"&gt;="&amp;B25,DATOS!$E$2:$E$401,"&lt;="&amp;C25)</f>
        <v>36</v>
      </c>
      <c r="F25" s="16">
        <f>F24+E25</f>
        <v>400</v>
      </c>
      <c r="G25" s="22">
        <f>E25/$B$6</f>
        <v>0.09</v>
      </c>
      <c r="H25" s="22">
        <f>F25/$B$6</f>
        <v>1.0</v>
      </c>
      <c r="I25" s="18">
        <f>G25*100</f>
        <v>9.0</v>
      </c>
      <c r="J25" s="18">
        <f>H25*100</f>
        <v>100.0</v>
      </c>
      <c r="L25" s="17">
        <f>D24</f>
        <v>125.5</v>
      </c>
      <c r="M25" s="16">
        <f>E24</f>
        <v>34</v>
      </c>
    </row>
    <row r="26" spans="1:13">
      <c r="A26" s="23" t="s">
        <v>89</v>
      </c>
      <c r="B26" s="23"/>
      <c r="C26" s="23"/>
      <c r="D26" s="23"/>
      <c r="E26" s="24">
        <f>SUM(E16:E25)</f>
        <v>400</v>
      </c>
      <c r="F26" s="23"/>
      <c r="G26" s="25">
        <f>SUM(G16:G25)</f>
        <v>0.9999999999999999</v>
      </c>
      <c r="H26" s="23"/>
      <c r="I26" s="26">
        <f>SUM(I16:I25)</f>
        <v>100.0</v>
      </c>
      <c r="J26" s="23"/>
      <c r="L26" s="17">
        <f>D25</f>
        <v>136.5</v>
      </c>
      <c r="M26" s="16">
        <f>E25</f>
        <v>36</v>
      </c>
    </row>
    <row r="27" spans="1:13">
      <c r="L27" s="17">
        <f>D25+$B$12</f>
        <v>147.5</v>
      </c>
      <c r="M27" s="16">
        <v>0</v>
      </c>
    </row>
    <row r="28" spans="1:13">
      <c r="A28" t="s">
        <v>90</v>
      </c>
    </row>
    <row r="29" spans="1:13">
      <c r="A29" s="14" t="s">
        <v>93</v>
      </c>
    </row>
    <row r="49" spans="1:10">
      <c r="A49" s="15" t="s">
        <v>94</v>
      </c>
    </row>
    <row r="50" spans="1:10" ht="62" customHeight="1">
      <c r="A50" s="7" t="s">
        <v>95</v>
      </c>
      <c r="B50" s="7"/>
      <c r="C50" s="7"/>
      <c r="D50" s="7"/>
      <c r="E50" s="7"/>
      <c r="F50" s="7"/>
      <c r="G50" s="7"/>
      <c r="H50" s="7"/>
      <c r="I50" s="7"/>
      <c r="J50" s="7"/>
    </row>
    <row r="73" spans="1:10">
      <c r="A73" s="15" t="s">
        <v>96</v>
      </c>
    </row>
    <row r="74" spans="1:10" ht="62" customHeight="1">
      <c r="A74" s="7" t="s">
        <v>97</v>
      </c>
      <c r="B74" s="7"/>
      <c r="C74" s="7"/>
      <c r="D74" s="7"/>
      <c r="E74" s="7"/>
      <c r="F74" s="7"/>
      <c r="G74" s="7"/>
      <c r="H74" s="7"/>
      <c r="I74" s="7"/>
      <c r="J74" s="7"/>
    </row>
    <row r="95" spans="1:10">
      <c r="A95" s="15" t="s">
        <v>98</v>
      </c>
    </row>
    <row r="96" spans="1:10" ht="62" customHeight="1">
      <c r="A96" s="7" t="s">
        <v>99</v>
      </c>
      <c r="B96" s="7"/>
      <c r="C96" s="7"/>
      <c r="D96" s="7"/>
      <c r="E96" s="7"/>
      <c r="F96" s="7"/>
      <c r="G96" s="7"/>
      <c r="H96" s="7"/>
      <c r="I96" s="7"/>
      <c r="J96" s="7"/>
    </row>
    <row r="99" spans="1:10">
      <c r="A99" s="14" t="s">
        <v>100</v>
      </c>
    </row>
    <row r="101" spans="1:10">
      <c r="A101" s="15" t="s">
        <v>101</v>
      </c>
    </row>
    <row r="102" spans="1:10">
      <c r="A102" t="s">
        <v>102</v>
      </c>
      <c r="B102" s="27" t="str">
        <f>INDEX($A$16:$A$25,MATCH(MAX($E$16:$E$25),$E$16:$E$25,0))</f>
        <v>[109 - 120)</v>
      </c>
    </row>
    <row r="103" spans="1:10">
      <c r="A103" t="s">
        <v>103</v>
      </c>
      <c r="B103" s="16">
        <f>MAX($E$16:$E$25)</f>
        <v>62</v>
      </c>
    </row>
    <row r="104" spans="1:10">
      <c r="A104" t="s">
        <v>104</v>
      </c>
      <c r="B104" s="18">
        <f>INDEX($I$16:$I$25,MATCH(MAX($E$16:$E$25),$E$16:$E$25,0))</f>
        <v>15.5</v>
      </c>
    </row>
    <row r="105" spans="1:10" ht="34" customHeight="1">
      <c r="A105" s="7" t="s">
        <v>105</v>
      </c>
      <c r="B105" s="7"/>
      <c r="C105" s="7"/>
      <c r="D105" s="7"/>
      <c r="E105" s="7"/>
      <c r="F105" s="7"/>
      <c r="G105" s="7"/>
      <c r="H105" s="7"/>
      <c r="I105" s="7"/>
      <c r="J105" s="7"/>
    </row>
    <row r="107" spans="1:10">
      <c r="A107" s="15" t="s">
        <v>106</v>
      </c>
    </row>
    <row r="108" spans="1:10">
      <c r="A108" t="s">
        <v>107</v>
      </c>
      <c r="B108" s="28">
        <v>0.6</v>
      </c>
    </row>
    <row r="109" spans="1:10">
      <c r="A109" t="s">
        <v>108</v>
      </c>
      <c r="B109" s="27" t="str">
        <f>INDEX($A$16:$A$25,COUNTIF($H$16:$H$25,"&lt;"&amp;$B$108)+1)</f>
        <v>[98 - 109)</v>
      </c>
    </row>
    <row r="110" spans="1:10">
      <c r="A110" t="s">
        <v>109</v>
      </c>
      <c r="B110" s="18">
        <f>INDEX($J$16:$J$25,COUNTIF($H$16:$H$25,"&lt;"&amp;$B$108))</f>
        <v>55.00000000000001</v>
      </c>
    </row>
    <row r="111" spans="1:10">
      <c r="A111" t="s">
        <v>110</v>
      </c>
      <c r="B111" s="18">
        <f>INDEX($J$16:$J$25,COUNTIF($H$16:$H$25,"&lt;"&amp;$B$108)+1)</f>
        <v>67.0</v>
      </c>
    </row>
    <row r="112" spans="1:10">
      <c r="A112" t="s">
        <v>111</v>
      </c>
      <c r="B112" s="17">
        <f>INDEX($B$16:$B$25,COUNTIF($H$16:$H$25,"&lt;"&amp;$B$108)+1)+($B$108-INDEX($H$16:$H$25,COUNTIF($H$16:$H$25,"&lt;"&amp;$B$108)))/(INDEX($H$16:$H$25,COUNTIF($H$16:$H$25,"&lt;"&amp;$B$108)+1)-INDEX($H$16:$H$25,COUNTIF($H$16:$H$25,"&lt;"&amp;$B$108)))*$B$12</f>
        <v>102.58333333333333</v>
      </c>
    </row>
    <row r="113" spans="1:13" ht="62" customHeight="1">
      <c r="A113" s="7" t="s">
        <v>112</v>
      </c>
      <c r="B113" s="7"/>
      <c r="C113" s="7"/>
      <c r="D113" s="7"/>
      <c r="E113" s="7"/>
      <c r="F113" s="7"/>
      <c r="G113" s="7"/>
      <c r="H113" s="7"/>
      <c r="I113" s="7"/>
      <c r="J113" s="7"/>
    </row>
    <row r="115" spans="1:13">
      <c r="A115" s="14" t="s">
        <v>113</v>
      </c>
    </row>
    <row r="117" spans="1:13">
      <c r="A117" s="29" t="s">
        <v>114</v>
      </c>
      <c r="B117" s="29" t="s">
        <v>115</v>
      </c>
      <c r="C117" s="29" t="s">
        <v>116</v>
      </c>
      <c r="D117" s="29"/>
      <c r="E117" s="29"/>
      <c r="F117" s="29"/>
      <c r="G117" s="29"/>
      <c r="H117" s="29"/>
      <c r="I117" s="29"/>
      <c r="J117" s="29" t="s">
        <v>117</v>
      </c>
      <c r="K117" s="29"/>
      <c r="L117" s="29"/>
      <c r="M117" s="29"/>
    </row>
    <row r="118" spans="1:13" ht="34" customHeight="1">
      <c r="A118" s="30" t="s">
        <v>118</v>
      </c>
      <c r="B118" s="31">
        <f>_xlfn.MODE.SNGL(DATOS!$E$2:$E$401)</f>
        <v>81.6</v>
      </c>
      <c r="C118" s="32" t="s">
        <v>119</v>
      </c>
      <c r="D118" s="32"/>
      <c r="E118" s="32"/>
      <c r="F118" s="32"/>
      <c r="G118" s="32"/>
      <c r="H118" s="32"/>
      <c r="I118" s="32"/>
      <c r="J118" s="33" t="s">
        <v>120</v>
      </c>
      <c r="K118" s="33"/>
      <c r="L118" s="33"/>
      <c r="M118" s="33"/>
    </row>
    <row r="119" spans="1:13" ht="34" customHeight="1">
      <c r="A119" s="30" t="s">
        <v>44</v>
      </c>
      <c r="B119" s="31">
        <f>AVERAGE(DATOS!$E$2:$E$401)</f>
        <v>89.86149999999999</v>
      </c>
      <c r="C119" s="32" t="s">
        <v>121</v>
      </c>
      <c r="D119" s="32"/>
      <c r="E119" s="32"/>
      <c r="F119" s="32"/>
      <c r="G119" s="32"/>
      <c r="H119" s="32"/>
      <c r="I119" s="32"/>
      <c r="J119" s="33" t="s">
        <v>122</v>
      </c>
      <c r="K119" s="33"/>
      <c r="L119" s="33"/>
      <c r="M119" s="33"/>
    </row>
    <row r="120" spans="1:13" ht="34" customHeight="1">
      <c r="A120" s="30" t="s">
        <v>123</v>
      </c>
      <c r="B120" s="31">
        <f>MEDIAN(DATOS!$E$2:$E$401)</f>
        <v>94.05</v>
      </c>
      <c r="C120" s="32" t="s">
        <v>124</v>
      </c>
      <c r="D120" s="32"/>
      <c r="E120" s="32"/>
      <c r="F120" s="32"/>
      <c r="G120" s="32"/>
      <c r="H120" s="32"/>
      <c r="I120" s="32"/>
      <c r="J120" s="33" t="s">
        <v>125</v>
      </c>
      <c r="K120" s="33"/>
      <c r="L120" s="33"/>
      <c r="M120" s="33"/>
    </row>
    <row r="121" spans="1:13" ht="34" customHeight="1">
      <c r="A121" s="30" t="s">
        <v>126</v>
      </c>
      <c r="B121" s="31">
        <f>MIN(DATOS!$E$2:$E$401)</f>
        <v>32.1</v>
      </c>
      <c r="C121" s="32" t="s">
        <v>127</v>
      </c>
      <c r="D121" s="32"/>
      <c r="E121" s="32"/>
      <c r="F121" s="32"/>
      <c r="G121" s="32"/>
      <c r="H121" s="32"/>
      <c r="I121" s="32"/>
      <c r="J121" s="33" t="s">
        <v>128</v>
      </c>
      <c r="K121" s="33"/>
      <c r="L121" s="33"/>
      <c r="M121" s="33"/>
    </row>
    <row r="122" spans="1:13" ht="34" customHeight="1">
      <c r="A122" s="30" t="s">
        <v>129</v>
      </c>
      <c r="B122" s="31">
        <f>MAX(DATOS!$E$2:$E$401)</f>
        <v>140.8</v>
      </c>
      <c r="C122" s="32" t="s">
        <v>130</v>
      </c>
      <c r="D122" s="32"/>
      <c r="E122" s="32"/>
      <c r="F122" s="32"/>
      <c r="G122" s="32"/>
      <c r="H122" s="32"/>
      <c r="I122" s="32"/>
      <c r="J122" s="33" t="s">
        <v>131</v>
      </c>
      <c r="K122" s="33"/>
      <c r="L122" s="33"/>
      <c r="M122" s="33"/>
    </row>
    <row r="123" spans="1:13" ht="34" customHeight="1">
      <c r="A123" s="30" t="s">
        <v>132</v>
      </c>
      <c r="B123" s="31">
        <f>B122-B121</f>
        <v>108.70000000000002</v>
      </c>
      <c r="C123" s="32" t="s">
        <v>133</v>
      </c>
      <c r="D123" s="32"/>
      <c r="E123" s="32"/>
      <c r="F123" s="32"/>
      <c r="G123" s="32"/>
      <c r="H123" s="32"/>
      <c r="I123" s="32"/>
      <c r="J123" s="33" t="s">
        <v>134</v>
      </c>
      <c r="K123" s="33"/>
      <c r="L123" s="33"/>
      <c r="M123" s="33"/>
    </row>
    <row r="124" spans="1:13" ht="34" customHeight="1">
      <c r="A124" s="30" t="s">
        <v>135</v>
      </c>
      <c r="B124" s="31">
        <f>_xlfn.QUARTILE.INC(DATOS!$E$2:$E$401,1)</f>
        <v>66.25</v>
      </c>
      <c r="C124" s="32" t="s">
        <v>136</v>
      </c>
      <c r="D124" s="32"/>
      <c r="E124" s="32"/>
      <c r="F124" s="32"/>
      <c r="G124" s="32"/>
      <c r="H124" s="32"/>
      <c r="I124" s="32"/>
      <c r="J124" s="33" t="s">
        <v>137</v>
      </c>
      <c r="K124" s="33"/>
      <c r="L124" s="33"/>
      <c r="M124" s="33"/>
    </row>
    <row r="125" spans="1:13" ht="34" customHeight="1">
      <c r="A125" s="30" t="s">
        <v>138</v>
      </c>
      <c r="B125" s="31">
        <f>_xlfn.PERCENTILE.INC(DATOS!$E$2:$E$401,0.5)</f>
        <v>94.05</v>
      </c>
      <c r="C125" s="32" t="s">
        <v>139</v>
      </c>
      <c r="D125" s="32"/>
      <c r="E125" s="32"/>
      <c r="F125" s="32"/>
      <c r="G125" s="32"/>
      <c r="H125" s="32"/>
      <c r="I125" s="32"/>
      <c r="J125" s="33" t="s">
        <v>140</v>
      </c>
      <c r="K125" s="33"/>
      <c r="L125" s="33"/>
      <c r="M125" s="33"/>
    </row>
    <row r="126" spans="1:13" ht="34" customHeight="1">
      <c r="A126" s="30" t="s">
        <v>141</v>
      </c>
      <c r="B126" s="31">
        <f>_xlfn.QUARTILE.INC(DATOS!$E$2:$E$401,3)</f>
        <v>114.85</v>
      </c>
      <c r="C126" s="32" t="s">
        <v>142</v>
      </c>
      <c r="D126" s="32"/>
      <c r="E126" s="32"/>
      <c r="F126" s="32"/>
      <c r="G126" s="32"/>
      <c r="H126" s="32"/>
      <c r="I126" s="32"/>
      <c r="J126" s="33" t="s">
        <v>143</v>
      </c>
      <c r="K126" s="33"/>
      <c r="L126" s="33"/>
      <c r="M126" s="33"/>
    </row>
    <row r="127" spans="1:13" ht="34" customHeight="1">
      <c r="A127" s="30" t="s">
        <v>144</v>
      </c>
      <c r="B127" s="31">
        <f>_xlfn.PERCENTILE.INC(DATOS!$E$2:$E$401,0.1)</f>
        <v>44.03000000000001</v>
      </c>
      <c r="C127" s="32" t="s">
        <v>145</v>
      </c>
      <c r="D127" s="32"/>
      <c r="E127" s="32"/>
      <c r="F127" s="32"/>
      <c r="G127" s="32"/>
      <c r="H127" s="32"/>
      <c r="I127" s="32"/>
      <c r="J127" s="33" t="s">
        <v>146</v>
      </c>
      <c r="K127" s="33"/>
      <c r="L127" s="33"/>
      <c r="M127" s="33"/>
    </row>
    <row r="128" spans="1:13" ht="34" customHeight="1">
      <c r="A128" s="30" t="s">
        <v>147</v>
      </c>
      <c r="B128" s="31">
        <f>_xlfn.PERCENTILE.INC(DATOS!$E$2:$E$401,0.8)</f>
        <v>117.98000000000002</v>
      </c>
      <c r="C128" s="32" t="s">
        <v>148</v>
      </c>
      <c r="D128" s="32"/>
      <c r="E128" s="32"/>
      <c r="F128" s="32"/>
      <c r="G128" s="32"/>
      <c r="H128" s="32"/>
      <c r="I128" s="32"/>
      <c r="J128" s="33" t="s">
        <v>149</v>
      </c>
      <c r="K128" s="33"/>
      <c r="L128" s="33"/>
      <c r="M128" s="33"/>
    </row>
    <row r="131" spans="1:13">
      <c r="A131" s="14" t="s">
        <v>150</v>
      </c>
    </row>
    <row r="133" spans="1:13">
      <c r="A133" s="29" t="s">
        <v>114</v>
      </c>
      <c r="B133" s="29" t="s">
        <v>115</v>
      </c>
      <c r="C133" s="29" t="s">
        <v>116</v>
      </c>
      <c r="D133" s="29"/>
      <c r="E133" s="29"/>
      <c r="F133" s="29"/>
      <c r="G133" s="29"/>
      <c r="H133" s="29"/>
      <c r="I133" s="29"/>
      <c r="J133" s="29" t="s">
        <v>117</v>
      </c>
      <c r="K133" s="29"/>
      <c r="L133" s="29"/>
      <c r="M133" s="29"/>
    </row>
    <row r="134" spans="1:13" ht="48" customHeight="1">
      <c r="A134" s="34" t="s">
        <v>151</v>
      </c>
      <c r="B134" s="31">
        <f>_xlfn.VAR.S(DATOS!$E$2:$E$401)</f>
        <v>923.5200679197994</v>
      </c>
      <c r="C134" s="32" t="s">
        <v>152</v>
      </c>
      <c r="D134" s="32"/>
      <c r="E134" s="32"/>
      <c r="F134" s="32"/>
      <c r="G134" s="32"/>
      <c r="H134" s="32"/>
      <c r="I134" s="32"/>
      <c r="J134" s="33" t="s">
        <v>153</v>
      </c>
      <c r="K134" s="33"/>
      <c r="L134" s="33"/>
      <c r="M134" s="33"/>
    </row>
    <row r="135" spans="1:13" ht="34" customHeight="1">
      <c r="A135" s="34" t="s">
        <v>154</v>
      </c>
      <c r="B135" s="31">
        <f>_xlfn.STDEV.S(DATOS!$E$2:$E$401)</f>
        <v>30.38947297864508</v>
      </c>
      <c r="C135" s="32" t="s">
        <v>155</v>
      </c>
      <c r="D135" s="32"/>
      <c r="E135" s="32"/>
      <c r="F135" s="32"/>
      <c r="G135" s="32"/>
      <c r="H135" s="32"/>
      <c r="I135" s="32"/>
      <c r="J135" s="33" t="s">
        <v>156</v>
      </c>
      <c r="K135" s="33"/>
      <c r="L135" s="33"/>
      <c r="M135" s="33"/>
    </row>
    <row r="136" spans="1:13" ht="34" customHeight="1">
      <c r="A136" s="34" t="s">
        <v>157</v>
      </c>
      <c r="B136" s="31">
        <f>B135/B119*100</f>
        <v>33.81812342176025</v>
      </c>
      <c r="C136" s="32" t="s">
        <v>158</v>
      </c>
      <c r="D136" s="32"/>
      <c r="E136" s="32"/>
      <c r="F136" s="32"/>
      <c r="G136" s="32"/>
      <c r="H136" s="32"/>
      <c r="I136" s="32"/>
      <c r="J136" s="33" t="s">
        <v>159</v>
      </c>
      <c r="K136" s="33"/>
      <c r="L136" s="33"/>
      <c r="M136" s="33"/>
    </row>
    <row r="137" spans="1:13" ht="48" customHeight="1">
      <c r="A137" s="34" t="s">
        <v>160</v>
      </c>
      <c r="B137" s="35">
        <f>SKEW(DATOS!$E$2:$E$401)</f>
        <v>-0.2611470418646723</v>
      </c>
      <c r="C137" s="32" t="s">
        <v>161</v>
      </c>
      <c r="D137" s="32"/>
      <c r="E137" s="32"/>
      <c r="F137" s="32"/>
      <c r="G137" s="32"/>
      <c r="H137" s="32"/>
      <c r="I137" s="32"/>
      <c r="J137" s="33" t="s">
        <v>162</v>
      </c>
      <c r="K137" s="33"/>
      <c r="L137" s="33"/>
      <c r="M137" s="33"/>
    </row>
    <row r="138" spans="1:13" ht="48" customHeight="1">
      <c r="A138" s="34" t="s">
        <v>163</v>
      </c>
      <c r="B138" s="35">
        <f>KURT(DATOS!$E$2:$E$401)</f>
        <v>-1.003317432071099</v>
      </c>
      <c r="C138" s="32" t="s">
        <v>164</v>
      </c>
      <c r="D138" s="32"/>
      <c r="E138" s="32"/>
      <c r="F138" s="32"/>
      <c r="G138" s="32"/>
      <c r="H138" s="32"/>
      <c r="I138" s="32"/>
      <c r="J138" s="33" t="s">
        <v>165</v>
      </c>
      <c r="K138" s="33"/>
      <c r="L138" s="33"/>
      <c r="M138" s="33"/>
    </row>
    <row r="140" spans="1:13">
      <c r="A140" s="15" t="s">
        <v>166</v>
      </c>
    </row>
    <row r="141" spans="1:13" ht="48" customHeight="1">
      <c r="A141" s="7" t="s">
        <v>167</v>
      </c>
      <c r="B141" s="7"/>
      <c r="C141" s="7"/>
      <c r="D141" s="7"/>
      <c r="E141" s="7"/>
      <c r="F141" s="7"/>
      <c r="G141" s="7"/>
      <c r="H141" s="7"/>
      <c r="I141" s="7"/>
      <c r="J141" s="7"/>
      <c r="K141" s="7"/>
      <c r="L141" s="7"/>
      <c r="M141" s="7"/>
    </row>
    <row r="143" spans="1:13">
      <c r="A143" s="14" t="s">
        <v>168</v>
      </c>
    </row>
    <row r="144" spans="1:13">
      <c r="A144" s="15" t="s">
        <v>169</v>
      </c>
    </row>
    <row r="145" spans="1:13" ht="48" customHeight="1">
      <c r="A145" s="7" t="s">
        <v>170</v>
      </c>
      <c r="B145" s="7"/>
      <c r="C145" s="7"/>
      <c r="D145" s="7"/>
      <c r="E145" s="7"/>
      <c r="F145" s="7"/>
      <c r="G145" s="7"/>
      <c r="H145" s="7"/>
      <c r="I145" s="7"/>
      <c r="J145" s="7"/>
      <c r="K145" s="7"/>
      <c r="L145" s="7"/>
      <c r="M145" s="7"/>
    </row>
    <row r="147" spans="1:13">
      <c r="A147" s="15" t="s">
        <v>171</v>
      </c>
    </row>
    <row r="148" spans="1:13" ht="48" customHeight="1">
      <c r="A148" s="7" t="s">
        <v>172</v>
      </c>
      <c r="B148" s="7"/>
      <c r="C148" s="7"/>
      <c r="D148" s="7"/>
      <c r="E148" s="7"/>
      <c r="F148" s="7"/>
      <c r="G148" s="7"/>
      <c r="H148" s="7"/>
      <c r="I148" s="7"/>
      <c r="J148" s="7"/>
      <c r="K148" s="7"/>
      <c r="L148" s="7"/>
      <c r="M148" s="7"/>
    </row>
    <row r="150" spans="1:13">
      <c r="A150" s="15" t="s">
        <v>173</v>
      </c>
    </row>
    <row r="151" spans="1:13" ht="48" customHeight="1">
      <c r="A151" s="7" t="s">
        <v>174</v>
      </c>
      <c r="B151" s="7"/>
      <c r="C151" s="7"/>
      <c r="D151" s="7"/>
      <c r="E151" s="7"/>
      <c r="F151" s="7"/>
      <c r="G151" s="7"/>
      <c r="H151" s="7"/>
      <c r="I151" s="7"/>
      <c r="J151" s="7"/>
      <c r="K151" s="7"/>
      <c r="L151" s="7"/>
      <c r="M151" s="7"/>
    </row>
  </sheetData>
  <mergeCells count="45">
    <mergeCell ref="A50:J50"/>
    <mergeCell ref="A74:J74"/>
    <mergeCell ref="A96:J96"/>
    <mergeCell ref="A105:J105"/>
    <mergeCell ref="A113:J113"/>
    <mergeCell ref="C117:I117"/>
    <mergeCell ref="J117:M117"/>
    <mergeCell ref="C118:I118"/>
    <mergeCell ref="J118:M118"/>
    <mergeCell ref="C119:I119"/>
    <mergeCell ref="J119:M119"/>
    <mergeCell ref="C120:I120"/>
    <mergeCell ref="J120:M120"/>
    <mergeCell ref="C121:I121"/>
    <mergeCell ref="J121:M121"/>
    <mergeCell ref="C122:I122"/>
    <mergeCell ref="J122:M122"/>
    <mergeCell ref="C123:I123"/>
    <mergeCell ref="J123:M123"/>
    <mergeCell ref="C124:I124"/>
    <mergeCell ref="J124:M124"/>
    <mergeCell ref="C125:I125"/>
    <mergeCell ref="J125:M125"/>
    <mergeCell ref="C126:I126"/>
    <mergeCell ref="J126:M126"/>
    <mergeCell ref="C127:I127"/>
    <mergeCell ref="J127:M127"/>
    <mergeCell ref="C128:I128"/>
    <mergeCell ref="J128:M128"/>
    <mergeCell ref="C133:I133"/>
    <mergeCell ref="J133:M133"/>
    <mergeCell ref="C134:I134"/>
    <mergeCell ref="J134:M134"/>
    <mergeCell ref="C135:I135"/>
    <mergeCell ref="J135:M135"/>
    <mergeCell ref="C136:I136"/>
    <mergeCell ref="J136:M136"/>
    <mergeCell ref="C137:I137"/>
    <mergeCell ref="J137:M137"/>
    <mergeCell ref="C138:I138"/>
    <mergeCell ref="J138:M138"/>
    <mergeCell ref="A141:M141"/>
    <mergeCell ref="A145:M145"/>
    <mergeCell ref="A148:M148"/>
    <mergeCell ref="A151:M151"/>
  </mergeCells>
  <pageMargins left="0.4" right="0.4" top="0.5" bottom="0.5" header="0.3" footer="0.3"/>
  <pageSetup paperSize="9" scale="60" orientation="landscape"/>
  <rowBreaks count="4" manualBreakCount="4">
    <brk id="28" max="16383" man="1"/>
    <brk id="75" max="16383" man="1"/>
    <brk id="114" max="16383" man="1"/>
    <brk id="129" max="16383" man="1"/>
  </rowBreaks>
  <drawing r:id="rId1"/>
</worksheet>
</file>

<file path=xl/worksheets/sheet7.xml><?xml version="1.0" encoding="utf-8"?>
<worksheet xmlns="http://schemas.openxmlformats.org/spreadsheetml/2006/main" xmlns:r="http://schemas.openxmlformats.org/officeDocument/2006/relationships">
  <dimension ref="A1:M80"/>
  <sheetViews>
    <sheetView workbookViewId="0"/>
  </sheetViews>
  <sheetFormatPr defaultRowHeight="15"/>
  <cols>
    <col min="1" max="1" width="40.7109375" customWidth="1"/>
    <col min="2" max="2" width="24.7109375" customWidth="1"/>
    <col min="3" max="13" width="12.7109375" customWidth="1"/>
  </cols>
  <sheetData>
    <row r="1" spans="1:13">
      <c r="A1" s="14" t="s">
        <v>175</v>
      </c>
    </row>
    <row r="2" spans="1:13">
      <c r="A2" t="s">
        <v>176</v>
      </c>
    </row>
    <row r="4" spans="1:13">
      <c r="A4" s="15" t="s">
        <v>177</v>
      </c>
    </row>
    <row r="5" spans="1:13">
      <c r="A5" s="30" t="s">
        <v>178</v>
      </c>
      <c r="B5" s="36">
        <f>COUNT(DATOS!$H$2:$H$401)</f>
        <v>400</v>
      </c>
    </row>
    <row r="6" spans="1:13">
      <c r="A6" s="30" t="s">
        <v>179</v>
      </c>
      <c r="B6" s="31">
        <f>AVERAGE(DATOS!$H$2:$H$401)</f>
        <v>3.6025</v>
      </c>
    </row>
    <row r="7" spans="1:13">
      <c r="A7" s="30" t="s">
        <v>180</v>
      </c>
      <c r="B7" s="31">
        <f>AVERAGE(DATOS!$I$2:$I$401)</f>
        <v>4.51</v>
      </c>
    </row>
    <row r="9" spans="1:13">
      <c r="A9" s="15" t="s">
        <v>181</v>
      </c>
    </row>
    <row r="10" spans="1:13">
      <c r="A10" s="29" t="s">
        <v>114</v>
      </c>
      <c r="B10" s="29" t="s">
        <v>115</v>
      </c>
      <c r="C10" s="29" t="s">
        <v>116</v>
      </c>
      <c r="D10" s="29"/>
      <c r="E10" s="29"/>
      <c r="F10" s="29"/>
      <c r="G10" s="29"/>
      <c r="H10" s="29"/>
      <c r="I10" s="29"/>
      <c r="J10" s="29" t="s">
        <v>117</v>
      </c>
      <c r="K10" s="29"/>
      <c r="L10" s="29"/>
      <c r="M10" s="29"/>
    </row>
    <row r="11" spans="1:13" ht="48" customHeight="1">
      <c r="A11" s="30" t="s">
        <v>182</v>
      </c>
      <c r="B11" s="35">
        <f>SLOPE(DATOS!$I$2:$I$401,DATOS!$H$2:$H$401)</f>
        <v>0.7723038154457105</v>
      </c>
      <c r="C11" s="32" t="s">
        <v>183</v>
      </c>
      <c r="D11" s="32"/>
      <c r="E11" s="32"/>
      <c r="F11" s="32"/>
      <c r="G11" s="32"/>
      <c r="H11" s="32"/>
      <c r="I11" s="32"/>
      <c r="J11" s="33" t="s">
        <v>184</v>
      </c>
      <c r="K11" s="33"/>
      <c r="L11" s="33"/>
      <c r="M11" s="33"/>
    </row>
    <row r="12" spans="1:13" ht="48" customHeight="1">
      <c r="A12" s="30" t="s">
        <v>185</v>
      </c>
      <c r="B12" s="35">
        <f>INTERCEPT(DATOS!$I$2:$I$401,DATOS!$H$2:$H$401)</f>
        <v>1.7277755048568277</v>
      </c>
      <c r="C12" s="32" t="s">
        <v>186</v>
      </c>
      <c r="D12" s="32"/>
      <c r="E12" s="32"/>
      <c r="F12" s="32"/>
      <c r="G12" s="32"/>
      <c r="H12" s="32"/>
      <c r="I12" s="32"/>
      <c r="J12" s="33" t="s">
        <v>187</v>
      </c>
      <c r="K12" s="33"/>
      <c r="L12" s="33"/>
      <c r="M12" s="33"/>
    </row>
    <row r="13" spans="1:13" ht="34" customHeight="1">
      <c r="A13" s="30" t="s">
        <v>188</v>
      </c>
      <c r="B13" s="37" t="str">
        <f>"y = "&amp;ROUND(B12,4)&amp;IF(B11&gt;=0," + "," - ")&amp;ABS(ROUND(B11,4))&amp;" x"</f>
        <v>y = 1.7278 + 0.7723 x</v>
      </c>
      <c r="C13" s="32" t="s">
        <v>189</v>
      </c>
      <c r="D13" s="32"/>
      <c r="E13" s="32"/>
      <c r="F13" s="32"/>
      <c r="G13" s="32"/>
      <c r="H13" s="32"/>
      <c r="I13" s="32"/>
      <c r="J13" s="33" t="s">
        <v>190</v>
      </c>
      <c r="K13" s="33"/>
      <c r="L13" s="33"/>
      <c r="M13" s="33"/>
    </row>
    <row r="14" spans="1:13" ht="34" customHeight="1">
      <c r="A14" s="30" t="s">
        <v>191</v>
      </c>
      <c r="B14" s="37" t="str">
        <f>IF(B11&gt;0,"Positiva",IF(B11&lt;0,"Negativa","Sin relación"))</f>
        <v>Positiva</v>
      </c>
      <c r="C14" s="32" t="s">
        <v>192</v>
      </c>
      <c r="D14" s="32"/>
      <c r="E14" s="32"/>
      <c r="F14" s="32"/>
      <c r="G14" s="32"/>
      <c r="H14" s="32"/>
      <c r="I14" s="32"/>
      <c r="J14" s="33" t="s">
        <v>193</v>
      </c>
      <c r="K14" s="33"/>
      <c r="L14" s="33"/>
      <c r="M14" s="33"/>
    </row>
    <row r="15" spans="1:13" ht="34" customHeight="1">
      <c r="A15" s="30" t="s">
        <v>194</v>
      </c>
      <c r="B15" s="31">
        <f>AVERAGEIF(DATOS!$H$2:$H$401,0,DATOS!$I$2:$I$401)</f>
        <v>1.0566037735849056</v>
      </c>
      <c r="C15" s="32" t="s">
        <v>195</v>
      </c>
      <c r="D15" s="32"/>
      <c r="E15" s="32"/>
      <c r="F15" s="32"/>
      <c r="G15" s="32"/>
      <c r="H15" s="32"/>
      <c r="I15" s="32"/>
      <c r="J15" s="33" t="s">
        <v>196</v>
      </c>
      <c r="K15" s="33"/>
      <c r="L15" s="33"/>
      <c r="M15" s="33"/>
    </row>
    <row r="17" spans="1:1">
      <c r="A17" s="14" t="s">
        <v>197</v>
      </c>
    </row>
    <row r="40" spans="1:13">
      <c r="A40" s="15" t="s">
        <v>198</v>
      </c>
    </row>
    <row r="41" spans="1:13" ht="48" customHeight="1">
      <c r="A41" s="7" t="s">
        <v>199</v>
      </c>
      <c r="B41" s="7"/>
      <c r="C41" s="7"/>
      <c r="D41" s="7"/>
      <c r="E41" s="7"/>
      <c r="F41" s="7"/>
      <c r="G41" s="7"/>
      <c r="H41" s="7"/>
      <c r="I41" s="7"/>
      <c r="J41" s="7"/>
      <c r="K41" s="7"/>
      <c r="L41" s="7"/>
      <c r="M41" s="7"/>
    </row>
    <row r="43" spans="1:13">
      <c r="A43" s="15" t="s">
        <v>200</v>
      </c>
    </row>
    <row r="44" spans="1:13" ht="62" customHeight="1">
      <c r="A44" s="7" t="s">
        <v>201</v>
      </c>
      <c r="B44" s="7"/>
      <c r="C44" s="7"/>
      <c r="D44" s="7"/>
      <c r="E44" s="7"/>
      <c r="F44" s="7"/>
      <c r="G44" s="7"/>
      <c r="H44" s="7"/>
      <c r="I44" s="7"/>
      <c r="J44" s="7"/>
      <c r="K44" s="7"/>
      <c r="L44" s="7"/>
      <c r="M44" s="7"/>
    </row>
    <row r="47" spans="1:13">
      <c r="A47" s="14" t="s">
        <v>202</v>
      </c>
    </row>
    <row r="49" spans="1:13">
      <c r="A49" s="29" t="s">
        <v>114</v>
      </c>
      <c r="B49" s="29" t="s">
        <v>115</v>
      </c>
      <c r="C49" s="29" t="s">
        <v>116</v>
      </c>
      <c r="D49" s="29"/>
      <c r="E49" s="29"/>
      <c r="F49" s="29"/>
      <c r="G49" s="29"/>
      <c r="H49" s="29"/>
      <c r="I49" s="29"/>
      <c r="J49" s="29" t="s">
        <v>117</v>
      </c>
      <c r="K49" s="29"/>
      <c r="L49" s="29"/>
      <c r="M49" s="29"/>
    </row>
    <row r="50" spans="1:13" ht="48" customHeight="1">
      <c r="A50" s="34" t="s">
        <v>203</v>
      </c>
      <c r="B50" s="35">
        <f>RSQ(DATOS!$I$2:$I$401,DATOS!$H$2:$H$401)</f>
        <v>0.5966275374243168</v>
      </c>
      <c r="C50" s="32" t="s">
        <v>204</v>
      </c>
      <c r="D50" s="32"/>
      <c r="E50" s="32"/>
      <c r="F50" s="32"/>
      <c r="G50" s="32"/>
      <c r="H50" s="32"/>
      <c r="I50" s="32"/>
      <c r="J50" s="33" t="s">
        <v>205</v>
      </c>
      <c r="K50" s="33"/>
      <c r="L50" s="33"/>
      <c r="M50" s="33"/>
    </row>
    <row r="51" spans="1:13" ht="48" customHeight="1">
      <c r="A51" s="34" t="s">
        <v>206</v>
      </c>
      <c r="B51" s="31">
        <f>B50*100</f>
        <v>59.66275374243168</v>
      </c>
      <c r="C51" s="32" t="s">
        <v>207</v>
      </c>
      <c r="D51" s="32"/>
      <c r="E51" s="32"/>
      <c r="F51" s="32"/>
      <c r="G51" s="32"/>
      <c r="H51" s="32"/>
      <c r="I51" s="32"/>
      <c r="J51" s="33" t="s">
        <v>208</v>
      </c>
      <c r="K51" s="33"/>
      <c r="L51" s="33"/>
      <c r="M51" s="33"/>
    </row>
    <row r="52" spans="1:13" ht="48" customHeight="1">
      <c r="A52" s="34" t="s">
        <v>209</v>
      </c>
      <c r="B52" s="35">
        <f>CORREL(DATOS!$I$2:$I$401,DATOS!$H$2:$H$401)</f>
        <v>0.7724166863968676</v>
      </c>
      <c r="C52" s="32" t="s">
        <v>210</v>
      </c>
      <c r="D52" s="32"/>
      <c r="E52" s="32"/>
      <c r="F52" s="32"/>
      <c r="G52" s="32"/>
      <c r="H52" s="32"/>
      <c r="I52" s="32"/>
      <c r="J52" s="33" t="s">
        <v>211</v>
      </c>
      <c r="K52" s="33"/>
      <c r="L52" s="33"/>
      <c r="M52" s="33"/>
    </row>
    <row r="53" spans="1:13" ht="48" customHeight="1">
      <c r="A53" s="34" t="s">
        <v>212</v>
      </c>
      <c r="B53" s="37" t="str">
        <f>IF(ABS(B52)=1,"Perfecta",IF(ABS(B52)&gt;=0.9,"Excelente",IF(ABS(B52)&gt;=0.8,"Aceptable",IF(ABS(B52)&gt;=0.5,"Regular",IF(ABS(B52)&gt;0,"Mínima","Sin correlación")))))</f>
        <v>Regular</v>
      </c>
      <c r="C53" s="32" t="s">
        <v>213</v>
      </c>
      <c r="D53" s="32"/>
      <c r="E53" s="32"/>
      <c r="F53" s="32"/>
      <c r="G53" s="32"/>
      <c r="H53" s="32"/>
      <c r="I53" s="32"/>
      <c r="J53" s="33" t="s">
        <v>214</v>
      </c>
      <c r="K53" s="33"/>
      <c r="L53" s="33"/>
      <c r="M53" s="33"/>
    </row>
    <row r="55" spans="1:13">
      <c r="A55" s="15" t="s">
        <v>215</v>
      </c>
    </row>
    <row r="56" spans="1:13">
      <c r="A56" s="29" t="s">
        <v>216</v>
      </c>
      <c r="B56" s="29" t="s">
        <v>217</v>
      </c>
    </row>
    <row r="57" spans="1:13">
      <c r="A57" s="21" t="s">
        <v>218</v>
      </c>
      <c r="B57" s="21" t="s">
        <v>219</v>
      </c>
    </row>
    <row r="58" spans="1:13">
      <c r="A58" s="21" t="s">
        <v>220</v>
      </c>
      <c r="B58" s="21" t="s">
        <v>221</v>
      </c>
    </row>
    <row r="59" spans="1:13">
      <c r="A59" s="21" t="s">
        <v>222</v>
      </c>
      <c r="B59" s="21" t="s">
        <v>223</v>
      </c>
    </row>
    <row r="60" spans="1:13">
      <c r="A60" s="21" t="s">
        <v>224</v>
      </c>
      <c r="B60" s="21" t="s">
        <v>225</v>
      </c>
    </row>
    <row r="61" spans="1:13">
      <c r="A61" s="21" t="s">
        <v>226</v>
      </c>
      <c r="B61" s="21" t="s">
        <v>227</v>
      </c>
    </row>
    <row r="62" spans="1:13">
      <c r="A62" s="21" t="s">
        <v>228</v>
      </c>
      <c r="B62" s="21" t="s">
        <v>229</v>
      </c>
    </row>
    <row r="64" spans="1:13" ht="30" customHeight="1">
      <c r="A64" s="7" t="s">
        <v>230</v>
      </c>
      <c r="B64" s="7"/>
      <c r="C64" s="7"/>
      <c r="D64" s="7"/>
      <c r="E64" s="7"/>
      <c r="F64" s="7"/>
      <c r="G64" s="7"/>
      <c r="H64" s="7"/>
      <c r="I64" s="7"/>
      <c r="J64" s="7"/>
      <c r="K64" s="7"/>
      <c r="L64" s="7"/>
      <c r="M64" s="7"/>
    </row>
    <row r="66" spans="1:13">
      <c r="A66" s="15" t="s">
        <v>231</v>
      </c>
    </row>
    <row r="67" spans="1:13" ht="62" customHeight="1">
      <c r="A67" s="7" t="s">
        <v>232</v>
      </c>
      <c r="B67" s="7"/>
      <c r="C67" s="7"/>
      <c r="D67" s="7"/>
      <c r="E67" s="7"/>
      <c r="F67" s="7"/>
      <c r="G67" s="7"/>
      <c r="H67" s="7"/>
      <c r="I67" s="7"/>
      <c r="J67" s="7"/>
      <c r="K67" s="7"/>
      <c r="L67" s="7"/>
      <c r="M67" s="7"/>
    </row>
    <row r="69" spans="1:13">
      <c r="A69" s="14" t="s">
        <v>233</v>
      </c>
    </row>
    <row r="70" spans="1:13">
      <c r="A70" t="s">
        <v>234</v>
      </c>
    </row>
    <row r="72" spans="1:13" ht="44" customHeight="1">
      <c r="A72" s="10" t="s">
        <v>235</v>
      </c>
      <c r="B72" s="10" t="s">
        <v>236</v>
      </c>
      <c r="C72" s="10" t="s">
        <v>237</v>
      </c>
      <c r="D72" s="10" t="s">
        <v>238</v>
      </c>
      <c r="E72" s="10" t="s">
        <v>239</v>
      </c>
      <c r="F72" s="10" t="s">
        <v>240</v>
      </c>
      <c r="G72" s="10" t="s">
        <v>116</v>
      </c>
      <c r="H72" s="10"/>
      <c r="I72" s="10"/>
      <c r="J72" s="10"/>
      <c r="K72" s="10"/>
      <c r="L72" s="10"/>
      <c r="M72" s="10"/>
    </row>
    <row r="73" spans="1:13" ht="62" customHeight="1">
      <c r="A73" s="34" t="s">
        <v>241</v>
      </c>
      <c r="B73" s="38">
        <v>1</v>
      </c>
      <c r="C73" s="31">
        <f>$B$12+$B$11*B73</f>
        <v>2.500079320302538</v>
      </c>
      <c r="D73" s="31">
        <f>AVERAGEIF(DATOS!$H$2:$H$401,B73,DATOS!$I$2:$I$401)</f>
        <v>0.5076923076923077</v>
      </c>
      <c r="E73" s="36">
        <f>COUNTIF(DATOS!$H$2:$H$401,B73)</f>
        <v>65</v>
      </c>
      <c r="F73" s="39" t="str">
        <f>IF(AND(B73&gt;=MIN(DATOS!$H$2:$H$401),B73&lt;=MAX(DATOS!$H$2:$H$401)),"Sí","No")</f>
        <v>Sí</v>
      </c>
      <c r="G73" s="32" t="s">
        <v>242</v>
      </c>
      <c r="H73" s="32"/>
      <c r="I73" s="32"/>
      <c r="J73" s="32"/>
      <c r="K73" s="32"/>
      <c r="L73" s="32"/>
      <c r="M73" s="32"/>
    </row>
    <row r="74" spans="1:13" ht="62" customHeight="1">
      <c r="A74" s="34" t="s">
        <v>243</v>
      </c>
      <c r="B74" s="38">
        <v>5</v>
      </c>
      <c r="C74" s="31">
        <f>$B$12+$B$11*B74</f>
        <v>5.58929458208538</v>
      </c>
      <c r="D74" s="31">
        <f>AVERAGEIF(DATOS!$H$2:$H$401,B74,DATOS!$I$2:$I$401)</f>
        <v>5.375</v>
      </c>
      <c r="E74" s="36">
        <f>COUNTIF(DATOS!$H$2:$H$401,B74)</f>
        <v>16</v>
      </c>
      <c r="F74" s="39" t="str">
        <f>IF(AND(B74&gt;=MIN(DATOS!$H$2:$H$401),B74&lt;=MAX(DATOS!$H$2:$H$401)),"Sí","No")</f>
        <v>Sí</v>
      </c>
      <c r="G74" s="32" t="s">
        <v>244</v>
      </c>
      <c r="H74" s="32"/>
      <c r="I74" s="32"/>
      <c r="J74" s="32"/>
      <c r="K74" s="32"/>
      <c r="L74" s="32"/>
      <c r="M74" s="32"/>
    </row>
    <row r="75" spans="1:13" ht="62" customHeight="1">
      <c r="A75" s="34" t="s">
        <v>245</v>
      </c>
      <c r="B75" s="38">
        <v>12</v>
      </c>
      <c r="C75" s="31">
        <f>$B$12+$B$11*B75</f>
        <v>10.995421290205353</v>
      </c>
      <c r="D75" s="31">
        <f>AVERAGEIF(DATOS!$H$2:$H$401,B75,DATOS!$I$2:$I$401)</f>
        <v>15.5</v>
      </c>
      <c r="E75" s="36">
        <f>COUNTIF(DATOS!$H$2:$H$401,B75)</f>
        <v>8</v>
      </c>
      <c r="F75" s="39" t="str">
        <f>IF(AND(B75&gt;=MIN(DATOS!$H$2:$H$401),B75&lt;=MAX(DATOS!$H$2:$H$401)),"Sí","No")</f>
        <v>Sí</v>
      </c>
      <c r="G75" s="32" t="s">
        <v>246</v>
      </c>
      <c r="H75" s="32"/>
      <c r="I75" s="32"/>
      <c r="J75" s="32"/>
      <c r="K75" s="32"/>
      <c r="L75" s="32"/>
      <c r="M75" s="32"/>
    </row>
    <row r="77" spans="1:13">
      <c r="A77" s="34" t="s">
        <v>247</v>
      </c>
      <c r="B77" s="31">
        <f>STEYX(DATOS!$I$2:$I$401,DATOS!$H$2:$H$401)</f>
        <v>2.5240467452070994</v>
      </c>
    </row>
    <row r="79" spans="1:13">
      <c r="A79" s="15" t="s">
        <v>248</v>
      </c>
    </row>
    <row r="80" spans="1:13" ht="62" customHeight="1">
      <c r="A80" s="7" t="s">
        <v>249</v>
      </c>
      <c r="B80" s="7"/>
      <c r="C80" s="7"/>
      <c r="D80" s="7"/>
      <c r="E80" s="7"/>
      <c r="F80" s="7"/>
      <c r="G80" s="7"/>
      <c r="H80" s="7"/>
      <c r="I80" s="7"/>
      <c r="J80" s="7"/>
      <c r="K80" s="7"/>
      <c r="L80" s="7"/>
      <c r="M80" s="7"/>
    </row>
  </sheetData>
  <mergeCells count="31">
    <mergeCell ref="C10:I10"/>
    <mergeCell ref="J10:M10"/>
    <mergeCell ref="C11:I11"/>
    <mergeCell ref="J11:M11"/>
    <mergeCell ref="C12:I12"/>
    <mergeCell ref="J12:M12"/>
    <mergeCell ref="C13:I13"/>
    <mergeCell ref="J13:M13"/>
    <mergeCell ref="C14:I14"/>
    <mergeCell ref="J14:M14"/>
    <mergeCell ref="C15:I15"/>
    <mergeCell ref="J15:M15"/>
    <mergeCell ref="A41:M41"/>
    <mergeCell ref="A44:M44"/>
    <mergeCell ref="C49:I49"/>
    <mergeCell ref="J49:M49"/>
    <mergeCell ref="C50:I50"/>
    <mergeCell ref="J50:M50"/>
    <mergeCell ref="C51:I51"/>
    <mergeCell ref="J51:M51"/>
    <mergeCell ref="C52:I52"/>
    <mergeCell ref="J52:M52"/>
    <mergeCell ref="C53:I53"/>
    <mergeCell ref="J53:M53"/>
    <mergeCell ref="A64:M64"/>
    <mergeCell ref="A67:M67"/>
    <mergeCell ref="G72:M72"/>
    <mergeCell ref="G73:M73"/>
    <mergeCell ref="G74:M74"/>
    <mergeCell ref="G75:M75"/>
    <mergeCell ref="A80:M80"/>
  </mergeCells>
  <pageMargins left="0.4" right="0.4" top="0.5" bottom="0.5" header="0.3" footer="0.3"/>
  <pageSetup paperSize="9" scale="60" orientation="landscape"/>
  <rowBreaks count="3" manualBreakCount="3">
    <brk id="16" max="16383" man="1"/>
    <brk id="46" max="16383" man="1"/>
    <brk id="68" max="16383" man="1"/>
  </rowBreaks>
  <drawing r:id="rId1"/>
</worksheet>
</file>

<file path=xl/worksheets/sheet8.xml><?xml version="1.0" encoding="utf-8"?>
<worksheet xmlns="http://schemas.openxmlformats.org/spreadsheetml/2006/main" xmlns:r="http://schemas.openxmlformats.org/officeDocument/2006/relationships">
  <sheetPr>
    <pageSetUpPr fitToPage="1"/>
  </sheetPr>
  <dimension ref="A1:A13"/>
  <sheetViews>
    <sheetView showGridLines="0" workbookViewId="0"/>
  </sheetViews>
  <sheetFormatPr defaultRowHeight="15"/>
  <cols>
    <col min="1" max="1" width="110.7109375" customWidth="1"/>
  </cols>
  <sheetData>
    <row r="1" spans="1:1" ht="26" customHeight="1">
      <c r="A1" s="6" t="s">
        <v>250</v>
      </c>
    </row>
    <row r="3" spans="1:1">
      <c r="A3" s="8" t="s">
        <v>251</v>
      </c>
    </row>
    <row r="4" spans="1:1" ht="63" customHeight="1">
      <c r="A4" s="7" t="s">
        <v>252</v>
      </c>
    </row>
    <row r="6" spans="1:1">
      <c r="A6" s="8" t="s">
        <v>253</v>
      </c>
    </row>
    <row r="7" spans="1:1" ht="93" customHeight="1">
      <c r="A7" s="7" t="s">
        <v>254</v>
      </c>
    </row>
    <row r="9" spans="1:1">
      <c r="A9" s="8" t="s">
        <v>255</v>
      </c>
    </row>
    <row r="10" spans="1:1" ht="93" customHeight="1">
      <c r="A10" s="7" t="s">
        <v>256</v>
      </c>
    </row>
    <row r="12" spans="1:1">
      <c r="A12" s="8" t="s">
        <v>257</v>
      </c>
    </row>
    <row r="13" spans="1:1" ht="63" customHeight="1">
      <c r="A13" s="7" t="s">
        <v>258</v>
      </c>
    </row>
  </sheetData>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sheetPr>
    <pageSetUpPr fitToPage="1"/>
  </sheetPr>
  <dimension ref="A1:A5"/>
  <sheetViews>
    <sheetView showGridLines="0" workbookViewId="0"/>
  </sheetViews>
  <sheetFormatPr defaultRowHeight="15"/>
  <cols>
    <col min="1" max="1" width="110.7109375" customWidth="1"/>
  </cols>
  <sheetData>
    <row r="1" spans="1:1" ht="26" customHeight="1">
      <c r="A1" s="6" t="s">
        <v>259</v>
      </c>
    </row>
    <row r="3" spans="1:1" ht="33" customHeight="1">
      <c r="A3" s="7" t="s">
        <v>260</v>
      </c>
    </row>
    <row r="5" spans="1:1" ht="33" customHeight="1">
      <c r="A5" s="7" t="s">
        <v>261</v>
      </c>
    </row>
  </sheetData>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sheetPr>
    <pageSetUpPr fitToPage="1"/>
  </sheetPr>
  <dimension ref="A1:G166"/>
  <sheetViews>
    <sheetView showGridLines="0" workbookViewId="0"/>
  </sheetViews>
  <sheetFormatPr defaultRowHeight="15"/>
  <cols>
    <col min="1" max="1" width="16.7109375" customWidth="1"/>
    <col min="2" max="2" width="36.7109375" customWidth="1"/>
    <col min="3" max="3" width="48.7109375" customWidth="1"/>
    <col min="4" max="5" width="22.7109375" customWidth="1"/>
    <col min="6" max="6" width="14.7109375" customWidth="1"/>
    <col min="7" max="7" width="12.7109375" customWidth="1"/>
  </cols>
  <sheetData>
    <row r="1" spans="1:7" ht="26" customHeight="1">
      <c r="A1" s="6" t="s">
        <v>262</v>
      </c>
    </row>
    <row r="3" spans="1:7">
      <c r="A3" s="8" t="s">
        <v>263</v>
      </c>
    </row>
    <row r="4" spans="1:7" ht="18" customHeight="1">
      <c r="A4" s="7" t="s">
        <v>264</v>
      </c>
      <c r="B4" s="7"/>
      <c r="C4" s="7"/>
      <c r="D4" s="7"/>
      <c r="E4" s="7"/>
      <c r="F4" s="7"/>
      <c r="G4" s="7"/>
    </row>
    <row r="5" spans="1:7" ht="33" customHeight="1">
      <c r="A5" s="7" t="s">
        <v>265</v>
      </c>
      <c r="B5" s="7"/>
      <c r="C5" s="7"/>
      <c r="D5" s="7"/>
      <c r="E5" s="7"/>
      <c r="F5" s="7"/>
      <c r="G5" s="7"/>
    </row>
    <row r="7" spans="1:7">
      <c r="A7" s="8" t="s">
        <v>266</v>
      </c>
    </row>
    <row r="8" spans="1:7" ht="33" customHeight="1">
      <c r="A8" s="7" t="s">
        <v>267</v>
      </c>
      <c r="B8" s="7"/>
      <c r="C8" s="7"/>
      <c r="D8" s="7"/>
      <c r="E8" s="7"/>
      <c r="F8" s="7"/>
      <c r="G8" s="7"/>
    </row>
    <row r="9" spans="1:7" ht="18" customHeight="1">
      <c r="A9" s="7" t="s">
        <v>268</v>
      </c>
      <c r="B9" s="7"/>
      <c r="C9" s="7"/>
      <c r="D9" s="7"/>
      <c r="E9" s="7"/>
      <c r="F9" s="7"/>
      <c r="G9" s="7"/>
    </row>
    <row r="11" spans="1:7" ht="32" customHeight="1">
      <c r="A11" s="10" t="s">
        <v>269</v>
      </c>
      <c r="B11" s="10" t="s">
        <v>270</v>
      </c>
      <c r="C11" s="10" t="s">
        <v>114</v>
      </c>
      <c r="D11" s="10" t="s">
        <v>271</v>
      </c>
      <c r="E11" s="10" t="s">
        <v>272</v>
      </c>
      <c r="F11" s="10" t="s">
        <v>273</v>
      </c>
      <c r="G11" s="10" t="s">
        <v>115</v>
      </c>
    </row>
    <row r="12" spans="1:7">
      <c r="A12" s="12" t="s">
        <v>253</v>
      </c>
      <c r="B12" s="12" t="s">
        <v>274</v>
      </c>
      <c r="C12" s="12" t="s">
        <v>275</v>
      </c>
      <c r="D12" s="40">
        <v>32</v>
      </c>
      <c r="E12" s="40">
        <v>32</v>
      </c>
      <c r="F12" s="41">
        <v>0</v>
      </c>
      <c r="G12" s="42" t="s">
        <v>276</v>
      </c>
    </row>
    <row r="13" spans="1:7">
      <c r="A13" s="12" t="s">
        <v>253</v>
      </c>
      <c r="B13" s="12" t="s">
        <v>274</v>
      </c>
      <c r="C13" s="12" t="s">
        <v>277</v>
      </c>
      <c r="D13" s="40">
        <v>43</v>
      </c>
      <c r="E13" s="40">
        <v>43</v>
      </c>
      <c r="F13" s="41">
        <v>0</v>
      </c>
      <c r="G13" s="42" t="s">
        <v>276</v>
      </c>
    </row>
    <row r="14" spans="1:7">
      <c r="A14" s="12" t="s">
        <v>253</v>
      </c>
      <c r="B14" s="12" t="s">
        <v>274</v>
      </c>
      <c r="C14" s="12" t="s">
        <v>278</v>
      </c>
      <c r="D14" s="40">
        <v>54</v>
      </c>
      <c r="E14" s="40">
        <v>54</v>
      </c>
      <c r="F14" s="41">
        <v>0</v>
      </c>
      <c r="G14" s="42" t="s">
        <v>276</v>
      </c>
    </row>
    <row r="15" spans="1:7">
      <c r="A15" s="12" t="s">
        <v>253</v>
      </c>
      <c r="B15" s="12" t="s">
        <v>274</v>
      </c>
      <c r="C15" s="12" t="s">
        <v>279</v>
      </c>
      <c r="D15" s="40">
        <v>65</v>
      </c>
      <c r="E15" s="40">
        <v>65</v>
      </c>
      <c r="F15" s="41">
        <v>0</v>
      </c>
      <c r="G15" s="42" t="s">
        <v>276</v>
      </c>
    </row>
    <row r="16" spans="1:7">
      <c r="A16" s="12" t="s">
        <v>253</v>
      </c>
      <c r="B16" s="12" t="s">
        <v>274</v>
      </c>
      <c r="C16" s="12" t="s">
        <v>280</v>
      </c>
      <c r="D16" s="40">
        <v>76</v>
      </c>
      <c r="E16" s="40">
        <v>76</v>
      </c>
      <c r="F16" s="41">
        <v>0</v>
      </c>
      <c r="G16" s="42" t="s">
        <v>276</v>
      </c>
    </row>
    <row r="17" spans="1:7">
      <c r="A17" s="12" t="s">
        <v>253</v>
      </c>
      <c r="B17" s="12" t="s">
        <v>274</v>
      </c>
      <c r="C17" s="12" t="s">
        <v>281</v>
      </c>
      <c r="D17" s="40">
        <v>87</v>
      </c>
      <c r="E17" s="40">
        <v>87</v>
      </c>
      <c r="F17" s="41">
        <v>0</v>
      </c>
      <c r="G17" s="42" t="s">
        <v>276</v>
      </c>
    </row>
    <row r="18" spans="1:7">
      <c r="A18" s="12" t="s">
        <v>253</v>
      </c>
      <c r="B18" s="12" t="s">
        <v>274</v>
      </c>
      <c r="C18" s="12" t="s">
        <v>282</v>
      </c>
      <c r="D18" s="40">
        <v>98</v>
      </c>
      <c r="E18" s="40">
        <v>98</v>
      </c>
      <c r="F18" s="41">
        <v>0</v>
      </c>
      <c r="G18" s="42" t="s">
        <v>276</v>
      </c>
    </row>
    <row r="19" spans="1:7">
      <c r="A19" s="12" t="s">
        <v>253</v>
      </c>
      <c r="B19" s="12" t="s">
        <v>274</v>
      </c>
      <c r="C19" s="12" t="s">
        <v>283</v>
      </c>
      <c r="D19" s="40">
        <v>109</v>
      </c>
      <c r="E19" s="40">
        <v>109</v>
      </c>
      <c r="F19" s="41">
        <v>0</v>
      </c>
      <c r="G19" s="42" t="s">
        <v>276</v>
      </c>
    </row>
    <row r="20" spans="1:7">
      <c r="A20" s="12" t="s">
        <v>253</v>
      </c>
      <c r="B20" s="12" t="s">
        <v>274</v>
      </c>
      <c r="C20" s="12" t="s">
        <v>284</v>
      </c>
      <c r="D20" s="40">
        <v>120</v>
      </c>
      <c r="E20" s="40">
        <v>120</v>
      </c>
      <c r="F20" s="41">
        <v>0</v>
      </c>
      <c r="G20" s="42" t="s">
        <v>276</v>
      </c>
    </row>
    <row r="21" spans="1:7">
      <c r="A21" s="12" t="s">
        <v>253</v>
      </c>
      <c r="B21" s="12" t="s">
        <v>274</v>
      </c>
      <c r="C21" s="12" t="s">
        <v>285</v>
      </c>
      <c r="D21" s="40">
        <v>131</v>
      </c>
      <c r="E21" s="40">
        <v>131</v>
      </c>
      <c r="F21" s="41">
        <v>0</v>
      </c>
      <c r="G21" s="42" t="s">
        <v>276</v>
      </c>
    </row>
    <row r="22" spans="1:7">
      <c r="A22" s="12" t="s">
        <v>253</v>
      </c>
      <c r="B22" s="12" t="s">
        <v>274</v>
      </c>
      <c r="C22" s="12" t="s">
        <v>286</v>
      </c>
      <c r="D22" s="40">
        <v>43</v>
      </c>
      <c r="E22" s="40">
        <v>43</v>
      </c>
      <c r="F22" s="41">
        <v>0</v>
      </c>
      <c r="G22" s="42" t="s">
        <v>276</v>
      </c>
    </row>
    <row r="23" spans="1:7">
      <c r="A23" s="12" t="s">
        <v>253</v>
      </c>
      <c r="B23" s="12" t="s">
        <v>274</v>
      </c>
      <c r="C23" s="12" t="s">
        <v>287</v>
      </c>
      <c r="D23" s="40">
        <v>54</v>
      </c>
      <c r="E23" s="40">
        <v>54</v>
      </c>
      <c r="F23" s="41">
        <v>0</v>
      </c>
      <c r="G23" s="42" t="s">
        <v>276</v>
      </c>
    </row>
    <row r="24" spans="1:7">
      <c r="A24" s="12" t="s">
        <v>253</v>
      </c>
      <c r="B24" s="12" t="s">
        <v>274</v>
      </c>
      <c r="C24" s="12" t="s">
        <v>288</v>
      </c>
      <c r="D24" s="40">
        <v>65</v>
      </c>
      <c r="E24" s="40">
        <v>65</v>
      </c>
      <c r="F24" s="41">
        <v>0</v>
      </c>
      <c r="G24" s="42" t="s">
        <v>276</v>
      </c>
    </row>
    <row r="25" spans="1:7">
      <c r="A25" s="12" t="s">
        <v>253</v>
      </c>
      <c r="B25" s="12" t="s">
        <v>274</v>
      </c>
      <c r="C25" s="12" t="s">
        <v>289</v>
      </c>
      <c r="D25" s="40">
        <v>76</v>
      </c>
      <c r="E25" s="40">
        <v>76</v>
      </c>
      <c r="F25" s="41">
        <v>0</v>
      </c>
      <c r="G25" s="42" t="s">
        <v>276</v>
      </c>
    </row>
    <row r="26" spans="1:7">
      <c r="A26" s="12" t="s">
        <v>253</v>
      </c>
      <c r="B26" s="12" t="s">
        <v>274</v>
      </c>
      <c r="C26" s="12" t="s">
        <v>290</v>
      </c>
      <c r="D26" s="40">
        <v>87</v>
      </c>
      <c r="E26" s="40">
        <v>87</v>
      </c>
      <c r="F26" s="41">
        <v>0</v>
      </c>
      <c r="G26" s="42" t="s">
        <v>276</v>
      </c>
    </row>
    <row r="27" spans="1:7">
      <c r="A27" s="12" t="s">
        <v>253</v>
      </c>
      <c r="B27" s="12" t="s">
        <v>274</v>
      </c>
      <c r="C27" s="12" t="s">
        <v>291</v>
      </c>
      <c r="D27" s="40">
        <v>98</v>
      </c>
      <c r="E27" s="40">
        <v>98</v>
      </c>
      <c r="F27" s="41">
        <v>0</v>
      </c>
      <c r="G27" s="42" t="s">
        <v>276</v>
      </c>
    </row>
    <row r="28" spans="1:7">
      <c r="A28" s="12" t="s">
        <v>253</v>
      </c>
      <c r="B28" s="12" t="s">
        <v>274</v>
      </c>
      <c r="C28" s="12" t="s">
        <v>292</v>
      </c>
      <c r="D28" s="40">
        <v>109</v>
      </c>
      <c r="E28" s="40">
        <v>109</v>
      </c>
      <c r="F28" s="41">
        <v>0</v>
      </c>
      <c r="G28" s="42" t="s">
        <v>276</v>
      </c>
    </row>
    <row r="29" spans="1:7">
      <c r="A29" s="12" t="s">
        <v>253</v>
      </c>
      <c r="B29" s="12" t="s">
        <v>274</v>
      </c>
      <c r="C29" s="12" t="s">
        <v>293</v>
      </c>
      <c r="D29" s="40">
        <v>120</v>
      </c>
      <c r="E29" s="40">
        <v>120</v>
      </c>
      <c r="F29" s="41">
        <v>0</v>
      </c>
      <c r="G29" s="42" t="s">
        <v>276</v>
      </c>
    </row>
    <row r="30" spans="1:7">
      <c r="A30" s="12" t="s">
        <v>253</v>
      </c>
      <c r="B30" s="12" t="s">
        <v>274</v>
      </c>
      <c r="C30" s="12" t="s">
        <v>294</v>
      </c>
      <c r="D30" s="40">
        <v>131</v>
      </c>
      <c r="E30" s="40">
        <v>131</v>
      </c>
      <c r="F30" s="41">
        <v>0</v>
      </c>
      <c r="G30" s="42" t="s">
        <v>276</v>
      </c>
    </row>
    <row r="31" spans="1:7">
      <c r="A31" s="12" t="s">
        <v>253</v>
      </c>
      <c r="B31" s="12" t="s">
        <v>274</v>
      </c>
      <c r="C31" s="12" t="s">
        <v>295</v>
      </c>
      <c r="D31" s="40">
        <v>142</v>
      </c>
      <c r="E31" s="40">
        <v>142</v>
      </c>
      <c r="F31" s="41">
        <v>0</v>
      </c>
      <c r="G31" s="42" t="s">
        <v>276</v>
      </c>
    </row>
    <row r="32" spans="1:7">
      <c r="A32" s="12" t="s">
        <v>253</v>
      </c>
      <c r="B32" s="12" t="s">
        <v>274</v>
      </c>
      <c r="C32" s="12" t="s">
        <v>296</v>
      </c>
      <c r="D32" s="40">
        <v>37.5</v>
      </c>
      <c r="E32" s="40">
        <v>37.5</v>
      </c>
      <c r="F32" s="41">
        <v>0</v>
      </c>
      <c r="G32" s="42" t="s">
        <v>276</v>
      </c>
    </row>
    <row r="33" spans="1:7">
      <c r="A33" s="12" t="s">
        <v>253</v>
      </c>
      <c r="B33" s="12" t="s">
        <v>274</v>
      </c>
      <c r="C33" s="12" t="s">
        <v>297</v>
      </c>
      <c r="D33" s="40">
        <v>48.5</v>
      </c>
      <c r="E33" s="40">
        <v>48.5</v>
      </c>
      <c r="F33" s="41">
        <v>0</v>
      </c>
      <c r="G33" s="42" t="s">
        <v>276</v>
      </c>
    </row>
    <row r="34" spans="1:7">
      <c r="A34" s="12" t="s">
        <v>253</v>
      </c>
      <c r="B34" s="12" t="s">
        <v>274</v>
      </c>
      <c r="C34" s="12" t="s">
        <v>298</v>
      </c>
      <c r="D34" s="40">
        <v>59.5</v>
      </c>
      <c r="E34" s="40">
        <v>59.5</v>
      </c>
      <c r="F34" s="41">
        <v>0</v>
      </c>
      <c r="G34" s="42" t="s">
        <v>276</v>
      </c>
    </row>
    <row r="35" spans="1:7">
      <c r="A35" s="12" t="s">
        <v>253</v>
      </c>
      <c r="B35" s="12" t="s">
        <v>274</v>
      </c>
      <c r="C35" s="12" t="s">
        <v>299</v>
      </c>
      <c r="D35" s="40">
        <v>70.5</v>
      </c>
      <c r="E35" s="40">
        <v>70.5</v>
      </c>
      <c r="F35" s="41">
        <v>0</v>
      </c>
      <c r="G35" s="42" t="s">
        <v>276</v>
      </c>
    </row>
    <row r="36" spans="1:7">
      <c r="A36" s="12" t="s">
        <v>253</v>
      </c>
      <c r="B36" s="12" t="s">
        <v>274</v>
      </c>
      <c r="C36" s="12" t="s">
        <v>300</v>
      </c>
      <c r="D36" s="40">
        <v>81.5</v>
      </c>
      <c r="E36" s="40">
        <v>81.5</v>
      </c>
      <c r="F36" s="41">
        <v>0</v>
      </c>
      <c r="G36" s="42" t="s">
        <v>276</v>
      </c>
    </row>
    <row r="37" spans="1:7">
      <c r="A37" s="12" t="s">
        <v>253</v>
      </c>
      <c r="B37" s="12" t="s">
        <v>274</v>
      </c>
      <c r="C37" s="12" t="s">
        <v>301</v>
      </c>
      <c r="D37" s="40">
        <v>92.5</v>
      </c>
      <c r="E37" s="40">
        <v>92.5</v>
      </c>
      <c r="F37" s="41">
        <v>0</v>
      </c>
      <c r="G37" s="42" t="s">
        <v>276</v>
      </c>
    </row>
    <row r="38" spans="1:7">
      <c r="A38" s="12" t="s">
        <v>253</v>
      </c>
      <c r="B38" s="12" t="s">
        <v>274</v>
      </c>
      <c r="C38" s="12" t="s">
        <v>302</v>
      </c>
      <c r="D38" s="40">
        <v>103.5</v>
      </c>
      <c r="E38" s="40">
        <v>103.5</v>
      </c>
      <c r="F38" s="41">
        <v>0</v>
      </c>
      <c r="G38" s="42" t="s">
        <v>276</v>
      </c>
    </row>
    <row r="39" spans="1:7">
      <c r="A39" s="12" t="s">
        <v>253</v>
      </c>
      <c r="B39" s="12" t="s">
        <v>274</v>
      </c>
      <c r="C39" s="12" t="s">
        <v>303</v>
      </c>
      <c r="D39" s="40">
        <v>114.5</v>
      </c>
      <c r="E39" s="40">
        <v>114.5</v>
      </c>
      <c r="F39" s="41">
        <v>0</v>
      </c>
      <c r="G39" s="42" t="s">
        <v>276</v>
      </c>
    </row>
    <row r="40" spans="1:7">
      <c r="A40" s="12" t="s">
        <v>253</v>
      </c>
      <c r="B40" s="12" t="s">
        <v>274</v>
      </c>
      <c r="C40" s="12" t="s">
        <v>304</v>
      </c>
      <c r="D40" s="40">
        <v>125.5</v>
      </c>
      <c r="E40" s="40">
        <v>125.5</v>
      </c>
      <c r="F40" s="41">
        <v>0</v>
      </c>
      <c r="G40" s="42" t="s">
        <v>276</v>
      </c>
    </row>
    <row r="41" spans="1:7">
      <c r="A41" s="12" t="s">
        <v>253</v>
      </c>
      <c r="B41" s="12" t="s">
        <v>274</v>
      </c>
      <c r="C41" s="12" t="s">
        <v>305</v>
      </c>
      <c r="D41" s="40">
        <v>136.5</v>
      </c>
      <c r="E41" s="40">
        <v>136.5</v>
      </c>
      <c r="F41" s="41">
        <v>0</v>
      </c>
      <c r="G41" s="42" t="s">
        <v>276</v>
      </c>
    </row>
    <row r="42" spans="1:7">
      <c r="A42" s="12" t="s">
        <v>253</v>
      </c>
      <c r="B42" s="12" t="s">
        <v>274</v>
      </c>
      <c r="C42" s="12" t="s">
        <v>306</v>
      </c>
      <c r="D42" s="40">
        <v>34</v>
      </c>
      <c r="E42" s="40">
        <v>34</v>
      </c>
      <c r="F42" s="41">
        <v>0</v>
      </c>
      <c r="G42" s="42" t="s">
        <v>276</v>
      </c>
    </row>
    <row r="43" spans="1:7">
      <c r="A43" s="12" t="s">
        <v>253</v>
      </c>
      <c r="B43" s="12" t="s">
        <v>274</v>
      </c>
      <c r="C43" s="12" t="s">
        <v>307</v>
      </c>
      <c r="D43" s="40">
        <v>40</v>
      </c>
      <c r="E43" s="40">
        <v>40</v>
      </c>
      <c r="F43" s="41">
        <v>0</v>
      </c>
      <c r="G43" s="42" t="s">
        <v>276</v>
      </c>
    </row>
    <row r="44" spans="1:7">
      <c r="A44" s="12" t="s">
        <v>253</v>
      </c>
      <c r="B44" s="12" t="s">
        <v>274</v>
      </c>
      <c r="C44" s="12" t="s">
        <v>308</v>
      </c>
      <c r="D44" s="40">
        <v>18</v>
      </c>
      <c r="E44" s="40">
        <v>18</v>
      </c>
      <c r="F44" s="41">
        <v>0</v>
      </c>
      <c r="G44" s="42" t="s">
        <v>276</v>
      </c>
    </row>
    <row r="45" spans="1:7">
      <c r="A45" s="12" t="s">
        <v>253</v>
      </c>
      <c r="B45" s="12" t="s">
        <v>274</v>
      </c>
      <c r="C45" s="12" t="s">
        <v>309</v>
      </c>
      <c r="D45" s="40">
        <v>38</v>
      </c>
      <c r="E45" s="40">
        <v>38</v>
      </c>
      <c r="F45" s="41">
        <v>0</v>
      </c>
      <c r="G45" s="42" t="s">
        <v>276</v>
      </c>
    </row>
    <row r="46" spans="1:7">
      <c r="A46" s="12" t="s">
        <v>253</v>
      </c>
      <c r="B46" s="12" t="s">
        <v>274</v>
      </c>
      <c r="C46" s="12" t="s">
        <v>310</v>
      </c>
      <c r="D46" s="40">
        <v>40</v>
      </c>
      <c r="E46" s="40">
        <v>40</v>
      </c>
      <c r="F46" s="41">
        <v>0</v>
      </c>
      <c r="G46" s="42" t="s">
        <v>276</v>
      </c>
    </row>
    <row r="47" spans="1:7">
      <c r="A47" s="12" t="s">
        <v>253</v>
      </c>
      <c r="B47" s="12" t="s">
        <v>274</v>
      </c>
      <c r="C47" s="12" t="s">
        <v>311</v>
      </c>
      <c r="D47" s="40">
        <v>50</v>
      </c>
      <c r="E47" s="40">
        <v>50</v>
      </c>
      <c r="F47" s="41">
        <v>0</v>
      </c>
      <c r="G47" s="42" t="s">
        <v>276</v>
      </c>
    </row>
    <row r="48" spans="1:7">
      <c r="A48" s="12" t="s">
        <v>253</v>
      </c>
      <c r="B48" s="12" t="s">
        <v>274</v>
      </c>
      <c r="C48" s="12" t="s">
        <v>312</v>
      </c>
      <c r="D48" s="40">
        <v>48</v>
      </c>
      <c r="E48" s="40">
        <v>48</v>
      </c>
      <c r="F48" s="41">
        <v>0</v>
      </c>
      <c r="G48" s="42" t="s">
        <v>276</v>
      </c>
    </row>
    <row r="49" spans="1:7">
      <c r="A49" s="12" t="s">
        <v>253</v>
      </c>
      <c r="B49" s="12" t="s">
        <v>274</v>
      </c>
      <c r="C49" s="12" t="s">
        <v>313</v>
      </c>
      <c r="D49" s="40">
        <v>62</v>
      </c>
      <c r="E49" s="40">
        <v>62</v>
      </c>
      <c r="F49" s="41">
        <v>0</v>
      </c>
      <c r="G49" s="42" t="s">
        <v>276</v>
      </c>
    </row>
    <row r="50" spans="1:7">
      <c r="A50" s="12" t="s">
        <v>253</v>
      </c>
      <c r="B50" s="12" t="s">
        <v>274</v>
      </c>
      <c r="C50" s="12" t="s">
        <v>314</v>
      </c>
      <c r="D50" s="40">
        <v>34</v>
      </c>
      <c r="E50" s="40">
        <v>34</v>
      </c>
      <c r="F50" s="41">
        <v>0</v>
      </c>
      <c r="G50" s="42" t="s">
        <v>276</v>
      </c>
    </row>
    <row r="51" spans="1:7">
      <c r="A51" s="12" t="s">
        <v>253</v>
      </c>
      <c r="B51" s="12" t="s">
        <v>274</v>
      </c>
      <c r="C51" s="12" t="s">
        <v>315</v>
      </c>
      <c r="D51" s="40">
        <v>36</v>
      </c>
      <c r="E51" s="40">
        <v>36</v>
      </c>
      <c r="F51" s="41">
        <v>0</v>
      </c>
      <c r="G51" s="42" t="s">
        <v>276</v>
      </c>
    </row>
    <row r="52" spans="1:7">
      <c r="A52" s="12" t="s">
        <v>253</v>
      </c>
      <c r="B52" s="12" t="s">
        <v>274</v>
      </c>
      <c r="C52" s="12" t="s">
        <v>316</v>
      </c>
      <c r="D52" s="40">
        <v>34</v>
      </c>
      <c r="E52" s="40">
        <v>34</v>
      </c>
      <c r="F52" s="41">
        <v>0</v>
      </c>
      <c r="G52" s="42" t="s">
        <v>276</v>
      </c>
    </row>
    <row r="53" spans="1:7">
      <c r="A53" s="12" t="s">
        <v>253</v>
      </c>
      <c r="B53" s="12" t="s">
        <v>274</v>
      </c>
      <c r="C53" s="12" t="s">
        <v>317</v>
      </c>
      <c r="D53" s="40">
        <v>74</v>
      </c>
      <c r="E53" s="40">
        <v>74</v>
      </c>
      <c r="F53" s="41">
        <v>0</v>
      </c>
      <c r="G53" s="42" t="s">
        <v>276</v>
      </c>
    </row>
    <row r="54" spans="1:7">
      <c r="A54" s="12" t="s">
        <v>253</v>
      </c>
      <c r="B54" s="12" t="s">
        <v>274</v>
      </c>
      <c r="C54" s="12" t="s">
        <v>318</v>
      </c>
      <c r="D54" s="40">
        <v>92</v>
      </c>
      <c r="E54" s="40">
        <v>92</v>
      </c>
      <c r="F54" s="41">
        <v>0</v>
      </c>
      <c r="G54" s="42" t="s">
        <v>276</v>
      </c>
    </row>
    <row r="55" spans="1:7">
      <c r="A55" s="12" t="s">
        <v>253</v>
      </c>
      <c r="B55" s="12" t="s">
        <v>274</v>
      </c>
      <c r="C55" s="12" t="s">
        <v>319</v>
      </c>
      <c r="D55" s="40">
        <v>130</v>
      </c>
      <c r="E55" s="40">
        <v>130</v>
      </c>
      <c r="F55" s="41">
        <v>0</v>
      </c>
      <c r="G55" s="42" t="s">
        <v>276</v>
      </c>
    </row>
    <row r="56" spans="1:7">
      <c r="A56" s="12" t="s">
        <v>253</v>
      </c>
      <c r="B56" s="12" t="s">
        <v>274</v>
      </c>
      <c r="C56" s="12" t="s">
        <v>320</v>
      </c>
      <c r="D56" s="40">
        <v>170</v>
      </c>
      <c r="E56" s="40">
        <v>170</v>
      </c>
      <c r="F56" s="41">
        <v>0</v>
      </c>
      <c r="G56" s="42" t="s">
        <v>276</v>
      </c>
    </row>
    <row r="57" spans="1:7">
      <c r="A57" s="12" t="s">
        <v>253</v>
      </c>
      <c r="B57" s="12" t="s">
        <v>274</v>
      </c>
      <c r="C57" s="12" t="s">
        <v>321</v>
      </c>
      <c r="D57" s="40">
        <v>220</v>
      </c>
      <c r="E57" s="40">
        <v>220</v>
      </c>
      <c r="F57" s="41">
        <v>0</v>
      </c>
      <c r="G57" s="42" t="s">
        <v>276</v>
      </c>
    </row>
    <row r="58" spans="1:7">
      <c r="A58" s="12" t="s">
        <v>253</v>
      </c>
      <c r="B58" s="12" t="s">
        <v>274</v>
      </c>
      <c r="C58" s="12" t="s">
        <v>322</v>
      </c>
      <c r="D58" s="40">
        <v>268</v>
      </c>
      <c r="E58" s="40">
        <v>268</v>
      </c>
      <c r="F58" s="41">
        <v>0</v>
      </c>
      <c r="G58" s="42" t="s">
        <v>276</v>
      </c>
    </row>
    <row r="59" spans="1:7">
      <c r="A59" s="12" t="s">
        <v>253</v>
      </c>
      <c r="B59" s="12" t="s">
        <v>274</v>
      </c>
      <c r="C59" s="12" t="s">
        <v>323</v>
      </c>
      <c r="D59" s="40">
        <v>330</v>
      </c>
      <c r="E59" s="40">
        <v>330</v>
      </c>
      <c r="F59" s="41">
        <v>0</v>
      </c>
      <c r="G59" s="42" t="s">
        <v>276</v>
      </c>
    </row>
    <row r="60" spans="1:7">
      <c r="A60" s="12" t="s">
        <v>253</v>
      </c>
      <c r="B60" s="12" t="s">
        <v>274</v>
      </c>
      <c r="C60" s="12" t="s">
        <v>324</v>
      </c>
      <c r="D60" s="40">
        <v>364</v>
      </c>
      <c r="E60" s="40">
        <v>364</v>
      </c>
      <c r="F60" s="41">
        <v>0</v>
      </c>
      <c r="G60" s="42" t="s">
        <v>276</v>
      </c>
    </row>
    <row r="61" spans="1:7">
      <c r="A61" s="12" t="s">
        <v>253</v>
      </c>
      <c r="B61" s="12" t="s">
        <v>274</v>
      </c>
      <c r="C61" s="12" t="s">
        <v>325</v>
      </c>
      <c r="D61" s="40">
        <v>400</v>
      </c>
      <c r="E61" s="40">
        <v>400</v>
      </c>
      <c r="F61" s="41">
        <v>0</v>
      </c>
      <c r="G61" s="42" t="s">
        <v>276</v>
      </c>
    </row>
    <row r="62" spans="1:7">
      <c r="A62" s="12" t="s">
        <v>253</v>
      </c>
      <c r="B62" s="12" t="s">
        <v>274</v>
      </c>
      <c r="C62" s="12" t="s">
        <v>326</v>
      </c>
      <c r="D62" s="40">
        <v>0.08500000000000001</v>
      </c>
      <c r="E62" s="40">
        <v>0.08500000000000001</v>
      </c>
      <c r="F62" s="41">
        <v>0</v>
      </c>
      <c r="G62" s="42" t="s">
        <v>276</v>
      </c>
    </row>
    <row r="63" spans="1:7">
      <c r="A63" s="12" t="s">
        <v>253</v>
      </c>
      <c r="B63" s="12" t="s">
        <v>274</v>
      </c>
      <c r="C63" s="12" t="s">
        <v>327</v>
      </c>
      <c r="D63" s="40">
        <v>0.1</v>
      </c>
      <c r="E63" s="40">
        <v>0.1</v>
      </c>
      <c r="F63" s="41">
        <v>0</v>
      </c>
      <c r="G63" s="42" t="s">
        <v>276</v>
      </c>
    </row>
    <row r="64" spans="1:7">
      <c r="A64" s="12" t="s">
        <v>253</v>
      </c>
      <c r="B64" s="12" t="s">
        <v>274</v>
      </c>
      <c r="C64" s="12" t="s">
        <v>328</v>
      </c>
      <c r="D64" s="40">
        <v>0.045</v>
      </c>
      <c r="E64" s="40">
        <v>0.045</v>
      </c>
      <c r="F64" s="41">
        <v>0</v>
      </c>
      <c r="G64" s="42" t="s">
        <v>276</v>
      </c>
    </row>
    <row r="65" spans="1:7">
      <c r="A65" s="12" t="s">
        <v>253</v>
      </c>
      <c r="B65" s="12" t="s">
        <v>274</v>
      </c>
      <c r="C65" s="12" t="s">
        <v>329</v>
      </c>
      <c r="D65" s="40">
        <v>0.095</v>
      </c>
      <c r="E65" s="40">
        <v>0.095</v>
      </c>
      <c r="F65" s="41">
        <v>0</v>
      </c>
      <c r="G65" s="42" t="s">
        <v>276</v>
      </c>
    </row>
    <row r="66" spans="1:7">
      <c r="A66" s="12" t="s">
        <v>253</v>
      </c>
      <c r="B66" s="12" t="s">
        <v>274</v>
      </c>
      <c r="C66" s="12" t="s">
        <v>330</v>
      </c>
      <c r="D66" s="40">
        <v>0.1</v>
      </c>
      <c r="E66" s="40">
        <v>0.1</v>
      </c>
      <c r="F66" s="41">
        <v>0</v>
      </c>
      <c r="G66" s="42" t="s">
        <v>276</v>
      </c>
    </row>
    <row r="67" spans="1:7">
      <c r="A67" s="12" t="s">
        <v>253</v>
      </c>
      <c r="B67" s="12" t="s">
        <v>274</v>
      </c>
      <c r="C67" s="12" t="s">
        <v>331</v>
      </c>
      <c r="D67" s="40">
        <v>0.125</v>
      </c>
      <c r="E67" s="40">
        <v>0.125</v>
      </c>
      <c r="F67" s="41">
        <v>0</v>
      </c>
      <c r="G67" s="42" t="s">
        <v>276</v>
      </c>
    </row>
    <row r="68" spans="1:7">
      <c r="A68" s="12" t="s">
        <v>253</v>
      </c>
      <c r="B68" s="12" t="s">
        <v>274</v>
      </c>
      <c r="C68" s="12" t="s">
        <v>332</v>
      </c>
      <c r="D68" s="40">
        <v>0.12</v>
      </c>
      <c r="E68" s="40">
        <v>0.12</v>
      </c>
      <c r="F68" s="41">
        <v>0</v>
      </c>
      <c r="G68" s="42" t="s">
        <v>276</v>
      </c>
    </row>
    <row r="69" spans="1:7">
      <c r="A69" s="12" t="s">
        <v>253</v>
      </c>
      <c r="B69" s="12" t="s">
        <v>274</v>
      </c>
      <c r="C69" s="12" t="s">
        <v>333</v>
      </c>
      <c r="D69" s="40">
        <v>0.155</v>
      </c>
      <c r="E69" s="40">
        <v>0.155</v>
      </c>
      <c r="F69" s="41">
        <v>0</v>
      </c>
      <c r="G69" s="42" t="s">
        <v>276</v>
      </c>
    </row>
    <row r="70" spans="1:7">
      <c r="A70" s="12" t="s">
        <v>253</v>
      </c>
      <c r="B70" s="12" t="s">
        <v>274</v>
      </c>
      <c r="C70" s="12" t="s">
        <v>334</v>
      </c>
      <c r="D70" s="40">
        <v>0.08500000000000001</v>
      </c>
      <c r="E70" s="40">
        <v>0.08500000000000001</v>
      </c>
      <c r="F70" s="41">
        <v>0</v>
      </c>
      <c r="G70" s="42" t="s">
        <v>276</v>
      </c>
    </row>
    <row r="71" spans="1:7">
      <c r="A71" s="12" t="s">
        <v>253</v>
      </c>
      <c r="B71" s="12" t="s">
        <v>274</v>
      </c>
      <c r="C71" s="12" t="s">
        <v>335</v>
      </c>
      <c r="D71" s="40">
        <v>0.09</v>
      </c>
      <c r="E71" s="40">
        <v>0.09</v>
      </c>
      <c r="F71" s="41">
        <v>0</v>
      </c>
      <c r="G71" s="42" t="s">
        <v>276</v>
      </c>
    </row>
    <row r="72" spans="1:7">
      <c r="A72" s="12" t="s">
        <v>253</v>
      </c>
      <c r="B72" s="12" t="s">
        <v>274</v>
      </c>
      <c r="C72" s="12" t="s">
        <v>336</v>
      </c>
      <c r="D72" s="40">
        <v>0.08500000000000001</v>
      </c>
      <c r="E72" s="40">
        <v>0.08500000000000001</v>
      </c>
      <c r="F72" s="41">
        <v>0</v>
      </c>
      <c r="G72" s="42" t="s">
        <v>276</v>
      </c>
    </row>
    <row r="73" spans="1:7">
      <c r="A73" s="12" t="s">
        <v>253</v>
      </c>
      <c r="B73" s="12" t="s">
        <v>274</v>
      </c>
      <c r="C73" s="12" t="s">
        <v>337</v>
      </c>
      <c r="D73" s="40">
        <v>0.185</v>
      </c>
      <c r="E73" s="40">
        <v>0.185</v>
      </c>
      <c r="F73" s="41">
        <v>0</v>
      </c>
      <c r="G73" s="42" t="s">
        <v>276</v>
      </c>
    </row>
    <row r="74" spans="1:7">
      <c r="A74" s="12" t="s">
        <v>253</v>
      </c>
      <c r="B74" s="12" t="s">
        <v>274</v>
      </c>
      <c r="C74" s="12" t="s">
        <v>338</v>
      </c>
      <c r="D74" s="40">
        <v>0.23</v>
      </c>
      <c r="E74" s="40">
        <v>0.23</v>
      </c>
      <c r="F74" s="41">
        <v>0</v>
      </c>
      <c r="G74" s="42" t="s">
        <v>276</v>
      </c>
    </row>
    <row r="75" spans="1:7">
      <c r="A75" s="12" t="s">
        <v>253</v>
      </c>
      <c r="B75" s="12" t="s">
        <v>274</v>
      </c>
      <c r="C75" s="12" t="s">
        <v>339</v>
      </c>
      <c r="D75" s="40">
        <v>0.325</v>
      </c>
      <c r="E75" s="40">
        <v>0.325</v>
      </c>
      <c r="F75" s="41">
        <v>0</v>
      </c>
      <c r="G75" s="42" t="s">
        <v>276</v>
      </c>
    </row>
    <row r="76" spans="1:7">
      <c r="A76" s="12" t="s">
        <v>253</v>
      </c>
      <c r="B76" s="12" t="s">
        <v>274</v>
      </c>
      <c r="C76" s="12" t="s">
        <v>340</v>
      </c>
      <c r="D76" s="40">
        <v>0.425</v>
      </c>
      <c r="E76" s="40">
        <v>0.425</v>
      </c>
      <c r="F76" s="41">
        <v>0</v>
      </c>
      <c r="G76" s="42" t="s">
        <v>276</v>
      </c>
    </row>
    <row r="77" spans="1:7">
      <c r="A77" s="12" t="s">
        <v>253</v>
      </c>
      <c r="B77" s="12" t="s">
        <v>274</v>
      </c>
      <c r="C77" s="12" t="s">
        <v>341</v>
      </c>
      <c r="D77" s="40">
        <v>0.55</v>
      </c>
      <c r="E77" s="40">
        <v>0.55</v>
      </c>
      <c r="F77" s="41">
        <v>0</v>
      </c>
      <c r="G77" s="42" t="s">
        <v>276</v>
      </c>
    </row>
    <row r="78" spans="1:7">
      <c r="A78" s="12" t="s">
        <v>253</v>
      </c>
      <c r="B78" s="12" t="s">
        <v>274</v>
      </c>
      <c r="C78" s="12" t="s">
        <v>342</v>
      </c>
      <c r="D78" s="40">
        <v>0.67</v>
      </c>
      <c r="E78" s="40">
        <v>0.67</v>
      </c>
      <c r="F78" s="41">
        <v>0</v>
      </c>
      <c r="G78" s="42" t="s">
        <v>276</v>
      </c>
    </row>
    <row r="79" spans="1:7">
      <c r="A79" s="12" t="s">
        <v>253</v>
      </c>
      <c r="B79" s="12" t="s">
        <v>274</v>
      </c>
      <c r="C79" s="12" t="s">
        <v>343</v>
      </c>
      <c r="D79" s="40">
        <v>0.825</v>
      </c>
      <c r="E79" s="40">
        <v>0.825</v>
      </c>
      <c r="F79" s="41">
        <v>0</v>
      </c>
      <c r="G79" s="42" t="s">
        <v>276</v>
      </c>
    </row>
    <row r="80" spans="1:7">
      <c r="A80" s="12" t="s">
        <v>253</v>
      </c>
      <c r="B80" s="12" t="s">
        <v>274</v>
      </c>
      <c r="C80" s="12" t="s">
        <v>344</v>
      </c>
      <c r="D80" s="40">
        <v>0.91</v>
      </c>
      <c r="E80" s="40">
        <v>0.91</v>
      </c>
      <c r="F80" s="41">
        <v>0</v>
      </c>
      <c r="G80" s="42" t="s">
        <v>276</v>
      </c>
    </row>
    <row r="81" spans="1:7">
      <c r="A81" s="12" t="s">
        <v>253</v>
      </c>
      <c r="B81" s="12" t="s">
        <v>274</v>
      </c>
      <c r="C81" s="12" t="s">
        <v>345</v>
      </c>
      <c r="D81" s="40">
        <v>1</v>
      </c>
      <c r="E81" s="40">
        <v>1</v>
      </c>
      <c r="F81" s="41">
        <v>0</v>
      </c>
      <c r="G81" s="42" t="s">
        <v>276</v>
      </c>
    </row>
    <row r="82" spans="1:7">
      <c r="A82" s="12" t="s">
        <v>253</v>
      </c>
      <c r="B82" s="12" t="s">
        <v>274</v>
      </c>
      <c r="C82" s="12" t="s">
        <v>346</v>
      </c>
      <c r="D82" s="40">
        <v>8.5</v>
      </c>
      <c r="E82" s="40">
        <v>8.5</v>
      </c>
      <c r="F82" s="41">
        <v>0</v>
      </c>
      <c r="G82" s="42" t="s">
        <v>276</v>
      </c>
    </row>
    <row r="83" spans="1:7">
      <c r="A83" s="12" t="s">
        <v>253</v>
      </c>
      <c r="B83" s="12" t="s">
        <v>274</v>
      </c>
      <c r="C83" s="12" t="s">
        <v>347</v>
      </c>
      <c r="D83" s="40">
        <v>10</v>
      </c>
      <c r="E83" s="40">
        <v>10</v>
      </c>
      <c r="F83" s="41">
        <v>0</v>
      </c>
      <c r="G83" s="42" t="s">
        <v>276</v>
      </c>
    </row>
    <row r="84" spans="1:7">
      <c r="A84" s="12" t="s">
        <v>253</v>
      </c>
      <c r="B84" s="12" t="s">
        <v>274</v>
      </c>
      <c r="C84" s="12" t="s">
        <v>348</v>
      </c>
      <c r="D84" s="40">
        <v>4.5</v>
      </c>
      <c r="E84" s="40">
        <v>4.5</v>
      </c>
      <c r="F84" s="41">
        <v>0</v>
      </c>
      <c r="G84" s="42" t="s">
        <v>276</v>
      </c>
    </row>
    <row r="85" spans="1:7">
      <c r="A85" s="12" t="s">
        <v>253</v>
      </c>
      <c r="B85" s="12" t="s">
        <v>274</v>
      </c>
      <c r="C85" s="12" t="s">
        <v>349</v>
      </c>
      <c r="D85" s="40">
        <v>9.5</v>
      </c>
      <c r="E85" s="40">
        <v>9.5</v>
      </c>
      <c r="F85" s="41">
        <v>0</v>
      </c>
      <c r="G85" s="42" t="s">
        <v>276</v>
      </c>
    </row>
    <row r="86" spans="1:7">
      <c r="A86" s="12" t="s">
        <v>253</v>
      </c>
      <c r="B86" s="12" t="s">
        <v>274</v>
      </c>
      <c r="C86" s="12" t="s">
        <v>350</v>
      </c>
      <c r="D86" s="40">
        <v>10</v>
      </c>
      <c r="E86" s="40">
        <v>10</v>
      </c>
      <c r="F86" s="41">
        <v>0</v>
      </c>
      <c r="G86" s="42" t="s">
        <v>276</v>
      </c>
    </row>
    <row r="87" spans="1:7">
      <c r="A87" s="12" t="s">
        <v>253</v>
      </c>
      <c r="B87" s="12" t="s">
        <v>274</v>
      </c>
      <c r="C87" s="12" t="s">
        <v>351</v>
      </c>
      <c r="D87" s="40">
        <v>12.5</v>
      </c>
      <c r="E87" s="40">
        <v>12.5</v>
      </c>
      <c r="F87" s="41">
        <v>0</v>
      </c>
      <c r="G87" s="42" t="s">
        <v>276</v>
      </c>
    </row>
    <row r="88" spans="1:7">
      <c r="A88" s="12" t="s">
        <v>253</v>
      </c>
      <c r="B88" s="12" t="s">
        <v>274</v>
      </c>
      <c r="C88" s="12" t="s">
        <v>352</v>
      </c>
      <c r="D88" s="40">
        <v>12</v>
      </c>
      <c r="E88" s="40">
        <v>12</v>
      </c>
      <c r="F88" s="41">
        <v>0</v>
      </c>
      <c r="G88" s="42" t="s">
        <v>276</v>
      </c>
    </row>
    <row r="89" spans="1:7">
      <c r="A89" s="12" t="s">
        <v>253</v>
      </c>
      <c r="B89" s="12" t="s">
        <v>274</v>
      </c>
      <c r="C89" s="12" t="s">
        <v>353</v>
      </c>
      <c r="D89" s="40">
        <v>15.5</v>
      </c>
      <c r="E89" s="40">
        <v>15.5</v>
      </c>
      <c r="F89" s="41">
        <v>0</v>
      </c>
      <c r="G89" s="42" t="s">
        <v>276</v>
      </c>
    </row>
    <row r="90" spans="1:7">
      <c r="A90" s="12" t="s">
        <v>253</v>
      </c>
      <c r="B90" s="12" t="s">
        <v>274</v>
      </c>
      <c r="C90" s="12" t="s">
        <v>354</v>
      </c>
      <c r="D90" s="40">
        <v>8.5</v>
      </c>
      <c r="E90" s="40">
        <v>8.5</v>
      </c>
      <c r="F90" s="41">
        <v>0</v>
      </c>
      <c r="G90" s="42" t="s">
        <v>276</v>
      </c>
    </row>
    <row r="91" spans="1:7">
      <c r="A91" s="12" t="s">
        <v>253</v>
      </c>
      <c r="B91" s="12" t="s">
        <v>274</v>
      </c>
      <c r="C91" s="12" t="s">
        <v>355</v>
      </c>
      <c r="D91" s="40">
        <v>9</v>
      </c>
      <c r="E91" s="40">
        <v>9</v>
      </c>
      <c r="F91" s="41">
        <v>0</v>
      </c>
      <c r="G91" s="42" t="s">
        <v>276</v>
      </c>
    </row>
    <row r="92" spans="1:7">
      <c r="A92" s="12" t="s">
        <v>253</v>
      </c>
      <c r="B92" s="12" t="s">
        <v>274</v>
      </c>
      <c r="C92" s="12" t="s">
        <v>356</v>
      </c>
      <c r="D92" s="40">
        <v>8.5</v>
      </c>
      <c r="E92" s="40">
        <v>8.5</v>
      </c>
      <c r="F92" s="41">
        <v>0</v>
      </c>
      <c r="G92" s="42" t="s">
        <v>276</v>
      </c>
    </row>
    <row r="93" spans="1:7">
      <c r="A93" s="12" t="s">
        <v>253</v>
      </c>
      <c r="B93" s="12" t="s">
        <v>274</v>
      </c>
      <c r="C93" s="12" t="s">
        <v>357</v>
      </c>
      <c r="D93" s="40">
        <v>18.5</v>
      </c>
      <c r="E93" s="40">
        <v>18.5</v>
      </c>
      <c r="F93" s="41">
        <v>0</v>
      </c>
      <c r="G93" s="42" t="s">
        <v>276</v>
      </c>
    </row>
    <row r="94" spans="1:7">
      <c r="A94" s="12" t="s">
        <v>253</v>
      </c>
      <c r="B94" s="12" t="s">
        <v>274</v>
      </c>
      <c r="C94" s="12" t="s">
        <v>358</v>
      </c>
      <c r="D94" s="40">
        <v>23</v>
      </c>
      <c r="E94" s="40">
        <v>23</v>
      </c>
      <c r="F94" s="41">
        <v>0</v>
      </c>
      <c r="G94" s="42" t="s">
        <v>276</v>
      </c>
    </row>
    <row r="95" spans="1:7">
      <c r="A95" s="12" t="s">
        <v>253</v>
      </c>
      <c r="B95" s="12" t="s">
        <v>274</v>
      </c>
      <c r="C95" s="12" t="s">
        <v>359</v>
      </c>
      <c r="D95" s="40">
        <v>32.5</v>
      </c>
      <c r="E95" s="40">
        <v>32.5</v>
      </c>
      <c r="F95" s="41">
        <v>0</v>
      </c>
      <c r="G95" s="42" t="s">
        <v>276</v>
      </c>
    </row>
    <row r="96" spans="1:7">
      <c r="A96" s="12" t="s">
        <v>253</v>
      </c>
      <c r="B96" s="12" t="s">
        <v>274</v>
      </c>
      <c r="C96" s="12" t="s">
        <v>360</v>
      </c>
      <c r="D96" s="40">
        <v>42.5</v>
      </c>
      <c r="E96" s="40">
        <v>42.5</v>
      </c>
      <c r="F96" s="41">
        <v>0</v>
      </c>
      <c r="G96" s="42" t="s">
        <v>276</v>
      </c>
    </row>
    <row r="97" spans="1:7">
      <c r="A97" s="12" t="s">
        <v>253</v>
      </c>
      <c r="B97" s="12" t="s">
        <v>274</v>
      </c>
      <c r="C97" s="12" t="s">
        <v>361</v>
      </c>
      <c r="D97" s="40">
        <v>55</v>
      </c>
      <c r="E97" s="40">
        <v>55.00000000000001</v>
      </c>
      <c r="F97" s="41">
        <v>7.105427357601002E-15</v>
      </c>
      <c r="G97" s="42" t="s">
        <v>276</v>
      </c>
    </row>
    <row r="98" spans="1:7">
      <c r="A98" s="12" t="s">
        <v>253</v>
      </c>
      <c r="B98" s="12" t="s">
        <v>274</v>
      </c>
      <c r="C98" s="12" t="s">
        <v>362</v>
      </c>
      <c r="D98" s="40">
        <v>67</v>
      </c>
      <c r="E98" s="40">
        <v>67</v>
      </c>
      <c r="F98" s="41">
        <v>0</v>
      </c>
      <c r="G98" s="42" t="s">
        <v>276</v>
      </c>
    </row>
    <row r="99" spans="1:7">
      <c r="A99" s="12" t="s">
        <v>253</v>
      </c>
      <c r="B99" s="12" t="s">
        <v>274</v>
      </c>
      <c r="C99" s="12" t="s">
        <v>363</v>
      </c>
      <c r="D99" s="40">
        <v>82.5</v>
      </c>
      <c r="E99" s="40">
        <v>82.5</v>
      </c>
      <c r="F99" s="41">
        <v>0</v>
      </c>
      <c r="G99" s="42" t="s">
        <v>276</v>
      </c>
    </row>
    <row r="100" spans="1:7">
      <c r="A100" s="12" t="s">
        <v>253</v>
      </c>
      <c r="B100" s="12" t="s">
        <v>274</v>
      </c>
      <c r="C100" s="12" t="s">
        <v>364</v>
      </c>
      <c r="D100" s="40">
        <v>91</v>
      </c>
      <c r="E100" s="40">
        <v>91</v>
      </c>
      <c r="F100" s="41">
        <v>0</v>
      </c>
      <c r="G100" s="42" t="s">
        <v>276</v>
      </c>
    </row>
    <row r="101" spans="1:7">
      <c r="A101" s="12" t="s">
        <v>253</v>
      </c>
      <c r="B101" s="12" t="s">
        <v>274</v>
      </c>
      <c r="C101" s="12" t="s">
        <v>365</v>
      </c>
      <c r="D101" s="40">
        <v>100</v>
      </c>
      <c r="E101" s="40">
        <v>100</v>
      </c>
      <c r="F101" s="41">
        <v>0</v>
      </c>
      <c r="G101" s="42" t="s">
        <v>276</v>
      </c>
    </row>
    <row r="102" spans="1:7">
      <c r="A102" s="12" t="s">
        <v>253</v>
      </c>
      <c r="B102" s="12" t="s">
        <v>366</v>
      </c>
      <c r="C102" s="12" t="s">
        <v>367</v>
      </c>
      <c r="D102" s="40">
        <v>400</v>
      </c>
      <c r="E102" s="40">
        <v>400</v>
      </c>
      <c r="F102" s="41">
        <v>0</v>
      </c>
      <c r="G102" s="42" t="s">
        <v>276</v>
      </c>
    </row>
    <row r="103" spans="1:7">
      <c r="A103" s="12" t="s">
        <v>253</v>
      </c>
      <c r="B103" s="12" t="s">
        <v>366</v>
      </c>
      <c r="C103" s="12" t="s">
        <v>368</v>
      </c>
      <c r="D103" s="40">
        <v>32.1</v>
      </c>
      <c r="E103" s="40">
        <v>32.1</v>
      </c>
      <c r="F103" s="41">
        <v>0</v>
      </c>
      <c r="G103" s="42" t="s">
        <v>276</v>
      </c>
    </row>
    <row r="104" spans="1:7">
      <c r="A104" s="12" t="s">
        <v>253</v>
      </c>
      <c r="B104" s="12" t="s">
        <v>366</v>
      </c>
      <c r="C104" s="12" t="s">
        <v>369</v>
      </c>
      <c r="D104" s="40">
        <v>140.8</v>
      </c>
      <c r="E104" s="40">
        <v>140.8</v>
      </c>
      <c r="F104" s="41">
        <v>0</v>
      </c>
      <c r="G104" s="42" t="s">
        <v>276</v>
      </c>
    </row>
    <row r="105" spans="1:7">
      <c r="A105" s="12" t="s">
        <v>253</v>
      </c>
      <c r="B105" s="12" t="s">
        <v>366</v>
      </c>
      <c r="C105" s="12" t="s">
        <v>370</v>
      </c>
      <c r="D105" s="40">
        <v>108.7</v>
      </c>
      <c r="E105" s="40">
        <v>108.7</v>
      </c>
      <c r="F105" s="41">
        <v>1.4210854715202E-14</v>
      </c>
      <c r="G105" s="42" t="s">
        <v>276</v>
      </c>
    </row>
    <row r="106" spans="1:7">
      <c r="A106" s="12" t="s">
        <v>253</v>
      </c>
      <c r="B106" s="12" t="s">
        <v>366</v>
      </c>
      <c r="C106" s="12" t="s">
        <v>371</v>
      </c>
      <c r="D106" s="40">
        <v>10</v>
      </c>
      <c r="E106" s="40">
        <v>10</v>
      </c>
      <c r="F106" s="41">
        <v>0</v>
      </c>
      <c r="G106" s="42" t="s">
        <v>276</v>
      </c>
    </row>
    <row r="107" spans="1:7">
      <c r="A107" s="12" t="s">
        <v>253</v>
      </c>
      <c r="B107" s="12" t="s">
        <v>366</v>
      </c>
      <c r="C107" s="12" t="s">
        <v>372</v>
      </c>
      <c r="D107" s="40">
        <v>10.87</v>
      </c>
      <c r="E107" s="40">
        <v>10.87</v>
      </c>
      <c r="F107" s="41">
        <v>1.77635683940025E-15</v>
      </c>
      <c r="G107" s="42" t="s">
        <v>276</v>
      </c>
    </row>
    <row r="108" spans="1:7">
      <c r="A108" s="12" t="s">
        <v>253</v>
      </c>
      <c r="B108" s="12" t="s">
        <v>373</v>
      </c>
      <c r="C108" s="12" t="s">
        <v>102</v>
      </c>
      <c r="D108" s="12" t="s">
        <v>86</v>
      </c>
      <c r="E108" s="12" t="s">
        <v>86</v>
      </c>
      <c r="F108" s="41">
        <v>0</v>
      </c>
      <c r="G108" s="42" t="s">
        <v>276</v>
      </c>
    </row>
    <row r="109" spans="1:7">
      <c r="A109" s="12" t="s">
        <v>253</v>
      </c>
      <c r="B109" s="12" t="s">
        <v>373</v>
      </c>
      <c r="C109" s="12" t="s">
        <v>103</v>
      </c>
      <c r="D109" s="40">
        <v>62</v>
      </c>
      <c r="E109" s="40">
        <v>62</v>
      </c>
      <c r="F109" s="41">
        <v>0</v>
      </c>
      <c r="G109" s="42" t="s">
        <v>276</v>
      </c>
    </row>
    <row r="110" spans="1:7">
      <c r="A110" s="12" t="s">
        <v>253</v>
      </c>
      <c r="B110" s="12" t="s">
        <v>373</v>
      </c>
      <c r="C110" s="12" t="s">
        <v>104</v>
      </c>
      <c r="D110" s="40">
        <v>15.5</v>
      </c>
      <c r="E110" s="40">
        <v>15.5</v>
      </c>
      <c r="F110" s="41">
        <v>0</v>
      </c>
      <c r="G110" s="42" t="s">
        <v>276</v>
      </c>
    </row>
    <row r="111" spans="1:7">
      <c r="A111" s="12" t="s">
        <v>253</v>
      </c>
      <c r="B111" s="12" t="s">
        <v>373</v>
      </c>
      <c r="C111" s="12" t="s">
        <v>108</v>
      </c>
      <c r="D111" s="12" t="s">
        <v>85</v>
      </c>
      <c r="E111" s="12" t="s">
        <v>85</v>
      </c>
      <c r="F111" s="41">
        <v>0</v>
      </c>
      <c r="G111" s="42" t="s">
        <v>276</v>
      </c>
    </row>
    <row r="112" spans="1:7">
      <c r="A112" s="12" t="s">
        <v>253</v>
      </c>
      <c r="B112" s="12" t="s">
        <v>373</v>
      </c>
      <c r="C112" s="12" t="s">
        <v>109</v>
      </c>
      <c r="D112" s="40">
        <v>55</v>
      </c>
      <c r="E112" s="40">
        <v>55.00000000000001</v>
      </c>
      <c r="F112" s="41">
        <v>7.105427357601002E-15</v>
      </c>
      <c r="G112" s="42" t="s">
        <v>276</v>
      </c>
    </row>
    <row r="113" spans="1:7">
      <c r="A113" s="12" t="s">
        <v>253</v>
      </c>
      <c r="B113" s="12" t="s">
        <v>373</v>
      </c>
      <c r="C113" s="12" t="s">
        <v>110</v>
      </c>
      <c r="D113" s="40">
        <v>67</v>
      </c>
      <c r="E113" s="40">
        <v>67</v>
      </c>
      <c r="F113" s="41">
        <v>0</v>
      </c>
      <c r="G113" s="42" t="s">
        <v>276</v>
      </c>
    </row>
    <row r="114" spans="1:7">
      <c r="A114" s="12" t="s">
        <v>253</v>
      </c>
      <c r="B114" s="12" t="s">
        <v>373</v>
      </c>
      <c r="C114" s="12" t="s">
        <v>111</v>
      </c>
      <c r="D114" s="40">
        <v>102.583333333333</v>
      </c>
      <c r="E114" s="40">
        <v>102.5833333333333</v>
      </c>
      <c r="F114" s="41">
        <v>3.268496584496461E-13</v>
      </c>
      <c r="G114" s="42" t="s">
        <v>276</v>
      </c>
    </row>
    <row r="115" spans="1:7">
      <c r="A115" s="12" t="s">
        <v>253</v>
      </c>
      <c r="B115" s="12" t="s">
        <v>374</v>
      </c>
      <c r="C115" s="12" t="s">
        <v>118</v>
      </c>
      <c r="D115" s="40">
        <v>81.59999999999999</v>
      </c>
      <c r="E115" s="40">
        <v>81.59999999999999</v>
      </c>
      <c r="F115" s="41">
        <v>0</v>
      </c>
      <c r="G115" s="42" t="s">
        <v>276</v>
      </c>
    </row>
    <row r="116" spans="1:7">
      <c r="A116" s="12" t="s">
        <v>253</v>
      </c>
      <c r="B116" s="12" t="s">
        <v>374</v>
      </c>
      <c r="C116" s="12" t="s">
        <v>44</v>
      </c>
      <c r="D116" s="40">
        <v>89.86150000000001</v>
      </c>
      <c r="E116" s="40">
        <v>89.86149999999999</v>
      </c>
      <c r="F116" s="41">
        <v>1.4210854715202E-14</v>
      </c>
      <c r="G116" s="42" t="s">
        <v>276</v>
      </c>
    </row>
    <row r="117" spans="1:7">
      <c r="A117" s="12" t="s">
        <v>253</v>
      </c>
      <c r="B117" s="12" t="s">
        <v>374</v>
      </c>
      <c r="C117" s="12" t="s">
        <v>123</v>
      </c>
      <c r="D117" s="40">
        <v>94.05</v>
      </c>
      <c r="E117" s="40">
        <v>94.05</v>
      </c>
      <c r="F117" s="41">
        <v>0</v>
      </c>
      <c r="G117" s="42" t="s">
        <v>276</v>
      </c>
    </row>
    <row r="118" spans="1:7">
      <c r="A118" s="12" t="s">
        <v>253</v>
      </c>
      <c r="B118" s="12" t="s">
        <v>374</v>
      </c>
      <c r="C118" s="12" t="s">
        <v>126</v>
      </c>
      <c r="D118" s="40">
        <v>32.1</v>
      </c>
      <c r="E118" s="40">
        <v>32.1</v>
      </c>
      <c r="F118" s="41">
        <v>0</v>
      </c>
      <c r="G118" s="42" t="s">
        <v>276</v>
      </c>
    </row>
    <row r="119" spans="1:7">
      <c r="A119" s="12" t="s">
        <v>253</v>
      </c>
      <c r="B119" s="12" t="s">
        <v>374</v>
      </c>
      <c r="C119" s="12" t="s">
        <v>129</v>
      </c>
      <c r="D119" s="40">
        <v>140.8</v>
      </c>
      <c r="E119" s="40">
        <v>140.8</v>
      </c>
      <c r="F119" s="41">
        <v>0</v>
      </c>
      <c r="G119" s="42" t="s">
        <v>276</v>
      </c>
    </row>
    <row r="120" spans="1:7">
      <c r="A120" s="12" t="s">
        <v>253</v>
      </c>
      <c r="B120" s="12" t="s">
        <v>374</v>
      </c>
      <c r="C120" s="12" t="s">
        <v>132</v>
      </c>
      <c r="D120" s="40">
        <v>108.7</v>
      </c>
      <c r="E120" s="40">
        <v>108.7</v>
      </c>
      <c r="F120" s="41">
        <v>1.4210854715202E-14</v>
      </c>
      <c r="G120" s="42" t="s">
        <v>276</v>
      </c>
    </row>
    <row r="121" spans="1:7">
      <c r="A121" s="12" t="s">
        <v>253</v>
      </c>
      <c r="B121" s="12" t="s">
        <v>374</v>
      </c>
      <c r="C121" s="12" t="s">
        <v>135</v>
      </c>
      <c r="D121" s="40">
        <v>66.25</v>
      </c>
      <c r="E121" s="40">
        <v>66.25</v>
      </c>
      <c r="F121" s="41">
        <v>0</v>
      </c>
      <c r="G121" s="42" t="s">
        <v>276</v>
      </c>
    </row>
    <row r="122" spans="1:7">
      <c r="A122" s="12" t="s">
        <v>253</v>
      </c>
      <c r="B122" s="12" t="s">
        <v>374</v>
      </c>
      <c r="C122" s="12" t="s">
        <v>138</v>
      </c>
      <c r="D122" s="40">
        <v>94.05</v>
      </c>
      <c r="E122" s="40">
        <v>94.05</v>
      </c>
      <c r="F122" s="41">
        <v>0</v>
      </c>
      <c r="G122" s="42" t="s">
        <v>276</v>
      </c>
    </row>
    <row r="123" spans="1:7">
      <c r="A123" s="12" t="s">
        <v>253</v>
      </c>
      <c r="B123" s="12" t="s">
        <v>374</v>
      </c>
      <c r="C123" s="12" t="s">
        <v>141</v>
      </c>
      <c r="D123" s="40">
        <v>114.85</v>
      </c>
      <c r="E123" s="40">
        <v>114.85</v>
      </c>
      <c r="F123" s="41">
        <v>0</v>
      </c>
      <c r="G123" s="42" t="s">
        <v>276</v>
      </c>
    </row>
    <row r="124" spans="1:7">
      <c r="A124" s="12" t="s">
        <v>253</v>
      </c>
      <c r="B124" s="12" t="s">
        <v>374</v>
      </c>
      <c r="C124" s="12" t="s">
        <v>144</v>
      </c>
      <c r="D124" s="40">
        <v>44.03</v>
      </c>
      <c r="E124" s="40">
        <v>44.03000000000001</v>
      </c>
      <c r="F124" s="41">
        <v>7.105427357601002E-15</v>
      </c>
      <c r="G124" s="42" t="s">
        <v>276</v>
      </c>
    </row>
    <row r="125" spans="1:7">
      <c r="A125" s="12" t="s">
        <v>253</v>
      </c>
      <c r="B125" s="12" t="s">
        <v>374</v>
      </c>
      <c r="C125" s="12" t="s">
        <v>147</v>
      </c>
      <c r="D125" s="40">
        <v>117.98</v>
      </c>
      <c r="E125" s="40">
        <v>117.98</v>
      </c>
      <c r="F125" s="41">
        <v>1.4210854715202E-14</v>
      </c>
      <c r="G125" s="42" t="s">
        <v>276</v>
      </c>
    </row>
    <row r="126" spans="1:7">
      <c r="A126" s="12" t="s">
        <v>253</v>
      </c>
      <c r="B126" s="12" t="s">
        <v>375</v>
      </c>
      <c r="C126" s="12" t="s">
        <v>151</v>
      </c>
      <c r="D126" s="40">
        <v>923.5200679198</v>
      </c>
      <c r="E126" s="40">
        <v>923.5200679197994</v>
      </c>
      <c r="F126" s="41">
        <v>5.684341886080801E-13</v>
      </c>
      <c r="G126" s="42" t="s">
        <v>276</v>
      </c>
    </row>
    <row r="127" spans="1:7">
      <c r="A127" s="12" t="s">
        <v>253</v>
      </c>
      <c r="B127" s="12" t="s">
        <v>375</v>
      </c>
      <c r="C127" s="12" t="s">
        <v>154</v>
      </c>
      <c r="D127" s="40">
        <v>30.3894729786451</v>
      </c>
      <c r="E127" s="40">
        <v>30.38947297864508</v>
      </c>
      <c r="F127" s="41">
        <v>1.77635683940025E-14</v>
      </c>
      <c r="G127" s="42" t="s">
        <v>276</v>
      </c>
    </row>
    <row r="128" spans="1:7">
      <c r="A128" s="12" t="s">
        <v>253</v>
      </c>
      <c r="B128" s="12" t="s">
        <v>375</v>
      </c>
      <c r="C128" s="12" t="s">
        <v>157</v>
      </c>
      <c r="D128" s="40">
        <v>33.8181234217603</v>
      </c>
      <c r="E128" s="40">
        <v>33.81812342176025</v>
      </c>
      <c r="F128" s="41">
        <v>4.973799150320701E-14</v>
      </c>
      <c r="G128" s="42" t="s">
        <v>276</v>
      </c>
    </row>
    <row r="129" spans="1:7">
      <c r="A129" s="12" t="s">
        <v>253</v>
      </c>
      <c r="B129" s="12" t="s">
        <v>375</v>
      </c>
      <c r="C129" s="12" t="s">
        <v>160</v>
      </c>
      <c r="D129" s="40">
        <v>-0.261147041864672</v>
      </c>
      <c r="E129" s="40">
        <v>-0.2611470418646723</v>
      </c>
      <c r="F129" s="41">
        <v>2.775557561562891E-16</v>
      </c>
      <c r="G129" s="42" t="s">
        <v>276</v>
      </c>
    </row>
    <row r="130" spans="1:7">
      <c r="A130" s="12" t="s">
        <v>253</v>
      </c>
      <c r="B130" s="12" t="s">
        <v>375</v>
      </c>
      <c r="C130" s="12" t="s">
        <v>163</v>
      </c>
      <c r="D130" s="40">
        <v>-1.0033174320711</v>
      </c>
      <c r="E130" s="40">
        <v>-1.003317432071099</v>
      </c>
      <c r="F130" s="41">
        <v>1.110223024625157E-15</v>
      </c>
      <c r="G130" s="42" t="s">
        <v>276</v>
      </c>
    </row>
    <row r="131" spans="1:7">
      <c r="A131" s="12" t="s">
        <v>255</v>
      </c>
      <c r="B131" s="12" t="s">
        <v>50</v>
      </c>
      <c r="C131" s="12" t="s">
        <v>182</v>
      </c>
      <c r="D131" s="40">
        <v>0.772303815445711</v>
      </c>
      <c r="E131" s="40">
        <v>0.7723038154457105</v>
      </c>
      <c r="F131" s="41">
        <v>5.551115123125783E-16</v>
      </c>
      <c r="G131" s="42" t="s">
        <v>276</v>
      </c>
    </row>
    <row r="132" spans="1:7">
      <c r="A132" s="12" t="s">
        <v>255</v>
      </c>
      <c r="B132" s="12" t="s">
        <v>50</v>
      </c>
      <c r="C132" s="12" t="s">
        <v>185</v>
      </c>
      <c r="D132" s="40">
        <v>1.72777550485683</v>
      </c>
      <c r="E132" s="40">
        <v>1.727775504856827</v>
      </c>
      <c r="F132" s="41">
        <v>2.886579864025407E-15</v>
      </c>
      <c r="G132" s="42" t="s">
        <v>276</v>
      </c>
    </row>
    <row r="133" spans="1:7">
      <c r="A133" s="12" t="s">
        <v>255</v>
      </c>
      <c r="B133" s="12" t="s">
        <v>50</v>
      </c>
      <c r="C133" s="12" t="s">
        <v>376</v>
      </c>
      <c r="D133" s="12" t="s">
        <v>377</v>
      </c>
      <c r="E133" s="12" t="s">
        <v>377</v>
      </c>
      <c r="F133" s="41">
        <v>0</v>
      </c>
      <c r="G133" s="42" t="s">
        <v>276</v>
      </c>
    </row>
    <row r="134" spans="1:7">
      <c r="A134" s="12" t="s">
        <v>255</v>
      </c>
      <c r="B134" s="12" t="s">
        <v>50</v>
      </c>
      <c r="C134" s="12" t="s">
        <v>378</v>
      </c>
      <c r="D134" s="12" t="s">
        <v>379</v>
      </c>
      <c r="E134" s="12" t="s">
        <v>379</v>
      </c>
      <c r="F134" s="41">
        <v>0</v>
      </c>
      <c r="G134" s="42" t="s">
        <v>276</v>
      </c>
    </row>
    <row r="135" spans="1:7">
      <c r="A135" s="12" t="s">
        <v>255</v>
      </c>
      <c r="B135" s="12" t="s">
        <v>50</v>
      </c>
      <c r="C135" s="12" t="s">
        <v>380</v>
      </c>
      <c r="D135" s="40">
        <v>1.05660377358491</v>
      </c>
      <c r="E135" s="40">
        <v>1.056603773584906</v>
      </c>
      <c r="F135" s="41">
        <v>4.440892098500626E-15</v>
      </c>
      <c r="G135" s="42" t="s">
        <v>276</v>
      </c>
    </row>
    <row r="136" spans="1:7">
      <c r="A136" s="12" t="s">
        <v>255</v>
      </c>
      <c r="B136" s="12" t="s">
        <v>381</v>
      </c>
      <c r="C136" s="12" t="s">
        <v>203</v>
      </c>
      <c r="D136" s="40">
        <v>0.596627537424317</v>
      </c>
      <c r="E136" s="40">
        <v>0.5966275374243168</v>
      </c>
      <c r="F136" s="41">
        <v>1.110223024625157E-16</v>
      </c>
      <c r="G136" s="42" t="s">
        <v>276</v>
      </c>
    </row>
    <row r="137" spans="1:7">
      <c r="A137" s="12" t="s">
        <v>255</v>
      </c>
      <c r="B137" s="12" t="s">
        <v>381</v>
      </c>
      <c r="C137" s="12" t="s">
        <v>206</v>
      </c>
      <c r="D137" s="40">
        <v>59.6627537424317</v>
      </c>
      <c r="E137" s="40">
        <v>59.66275374243168</v>
      </c>
      <c r="F137" s="41">
        <v>1.4210854715202E-14</v>
      </c>
      <c r="G137" s="42" t="s">
        <v>276</v>
      </c>
    </row>
    <row r="138" spans="1:7">
      <c r="A138" s="12" t="s">
        <v>255</v>
      </c>
      <c r="B138" s="12" t="s">
        <v>381</v>
      </c>
      <c r="C138" s="12" t="s">
        <v>209</v>
      </c>
      <c r="D138" s="40">
        <v>0.772416686396868</v>
      </c>
      <c r="E138" s="40">
        <v>0.7724166863968676</v>
      </c>
      <c r="F138" s="41">
        <v>4.440892098500626E-16</v>
      </c>
      <c r="G138" s="42" t="s">
        <v>276</v>
      </c>
    </row>
    <row r="139" spans="1:7">
      <c r="A139" s="12" t="s">
        <v>255</v>
      </c>
      <c r="B139" s="12" t="s">
        <v>381</v>
      </c>
      <c r="C139" s="12" t="s">
        <v>212</v>
      </c>
      <c r="D139" s="12" t="s">
        <v>225</v>
      </c>
      <c r="E139" s="12" t="s">
        <v>225</v>
      </c>
      <c r="F139" s="41">
        <v>0</v>
      </c>
      <c r="G139" s="42" t="s">
        <v>276</v>
      </c>
    </row>
    <row r="140" spans="1:7">
      <c r="A140" s="12" t="s">
        <v>255</v>
      </c>
      <c r="B140" s="12" t="s">
        <v>382</v>
      </c>
      <c r="C140" s="12" t="s">
        <v>383</v>
      </c>
      <c r="D140" s="40">
        <v>2.50007932030254</v>
      </c>
      <c r="E140" s="40">
        <v>2.500079320302538</v>
      </c>
      <c r="F140" s="41">
        <v>2.220446049250313E-15</v>
      </c>
      <c r="G140" s="42" t="s">
        <v>276</v>
      </c>
    </row>
    <row r="141" spans="1:7">
      <c r="A141" s="12" t="s">
        <v>255</v>
      </c>
      <c r="B141" s="12" t="s">
        <v>382</v>
      </c>
      <c r="C141" s="12" t="s">
        <v>384</v>
      </c>
      <c r="D141" s="40">
        <v>0.507692307692308</v>
      </c>
      <c r="E141" s="40">
        <v>0.5076923076923077</v>
      </c>
      <c r="F141" s="41">
        <v>3.33066907387547E-16</v>
      </c>
      <c r="G141" s="42" t="s">
        <v>276</v>
      </c>
    </row>
    <row r="142" spans="1:7">
      <c r="A142" s="12" t="s">
        <v>255</v>
      </c>
      <c r="B142" s="12" t="s">
        <v>382</v>
      </c>
      <c r="C142" s="12" t="s">
        <v>385</v>
      </c>
      <c r="D142" s="40">
        <v>65</v>
      </c>
      <c r="E142" s="40">
        <v>65</v>
      </c>
      <c r="F142" s="41">
        <v>0</v>
      </c>
      <c r="G142" s="42" t="s">
        <v>276</v>
      </c>
    </row>
    <row r="143" spans="1:7">
      <c r="A143" s="12" t="s">
        <v>255</v>
      </c>
      <c r="B143" s="12" t="s">
        <v>382</v>
      </c>
      <c r="C143" s="12" t="s">
        <v>386</v>
      </c>
      <c r="D143" s="12" t="s">
        <v>387</v>
      </c>
      <c r="E143" s="12" t="s">
        <v>387</v>
      </c>
      <c r="F143" s="41">
        <v>0</v>
      </c>
      <c r="G143" s="42" t="s">
        <v>276</v>
      </c>
    </row>
    <row r="144" spans="1:7">
      <c r="A144" s="12" t="s">
        <v>255</v>
      </c>
      <c r="B144" s="12" t="s">
        <v>382</v>
      </c>
      <c r="C144" s="12" t="s">
        <v>388</v>
      </c>
      <c r="D144" s="40">
        <v>5.58929458208538</v>
      </c>
      <c r="E144" s="40">
        <v>5.58929458208538</v>
      </c>
      <c r="F144" s="41">
        <v>0</v>
      </c>
      <c r="G144" s="42" t="s">
        <v>276</v>
      </c>
    </row>
    <row r="145" spans="1:7">
      <c r="A145" s="12" t="s">
        <v>255</v>
      </c>
      <c r="B145" s="12" t="s">
        <v>382</v>
      </c>
      <c r="C145" s="12" t="s">
        <v>389</v>
      </c>
      <c r="D145" s="40">
        <v>5.375</v>
      </c>
      <c r="E145" s="40">
        <v>5.375</v>
      </c>
      <c r="F145" s="41">
        <v>0</v>
      </c>
      <c r="G145" s="42" t="s">
        <v>276</v>
      </c>
    </row>
    <row r="146" spans="1:7">
      <c r="A146" s="12" t="s">
        <v>255</v>
      </c>
      <c r="B146" s="12" t="s">
        <v>382</v>
      </c>
      <c r="C146" s="12" t="s">
        <v>390</v>
      </c>
      <c r="D146" s="40">
        <v>16</v>
      </c>
      <c r="E146" s="40">
        <v>16</v>
      </c>
      <c r="F146" s="41">
        <v>0</v>
      </c>
      <c r="G146" s="42" t="s">
        <v>276</v>
      </c>
    </row>
    <row r="147" spans="1:7">
      <c r="A147" s="12" t="s">
        <v>255</v>
      </c>
      <c r="B147" s="12" t="s">
        <v>382</v>
      </c>
      <c r="C147" s="12" t="s">
        <v>391</v>
      </c>
      <c r="D147" s="12" t="s">
        <v>387</v>
      </c>
      <c r="E147" s="12" t="s">
        <v>387</v>
      </c>
      <c r="F147" s="41">
        <v>0</v>
      </c>
      <c r="G147" s="42" t="s">
        <v>276</v>
      </c>
    </row>
    <row r="148" spans="1:7">
      <c r="A148" s="12" t="s">
        <v>255</v>
      </c>
      <c r="B148" s="12" t="s">
        <v>382</v>
      </c>
      <c r="C148" s="12" t="s">
        <v>392</v>
      </c>
      <c r="D148" s="40">
        <v>10.9954212902054</v>
      </c>
      <c r="E148" s="40">
        <v>10.99542129020535</v>
      </c>
      <c r="F148" s="41">
        <v>4.618527782440651E-14</v>
      </c>
      <c r="G148" s="42" t="s">
        <v>276</v>
      </c>
    </row>
    <row r="149" spans="1:7">
      <c r="A149" s="12" t="s">
        <v>255</v>
      </c>
      <c r="B149" s="12" t="s">
        <v>382</v>
      </c>
      <c r="C149" s="12" t="s">
        <v>393</v>
      </c>
      <c r="D149" s="40">
        <v>15.5</v>
      </c>
      <c r="E149" s="40">
        <v>15.5</v>
      </c>
      <c r="F149" s="41">
        <v>0</v>
      </c>
      <c r="G149" s="42" t="s">
        <v>276</v>
      </c>
    </row>
    <row r="150" spans="1:7">
      <c r="A150" s="12" t="s">
        <v>255</v>
      </c>
      <c r="B150" s="12" t="s">
        <v>382</v>
      </c>
      <c r="C150" s="12" t="s">
        <v>394</v>
      </c>
      <c r="D150" s="40">
        <v>8</v>
      </c>
      <c r="E150" s="40">
        <v>8</v>
      </c>
      <c r="F150" s="41">
        <v>0</v>
      </c>
      <c r="G150" s="42" t="s">
        <v>276</v>
      </c>
    </row>
    <row r="151" spans="1:7">
      <c r="A151" s="12" t="s">
        <v>255</v>
      </c>
      <c r="B151" s="12" t="s">
        <v>382</v>
      </c>
      <c r="C151" s="12" t="s">
        <v>395</v>
      </c>
      <c r="D151" s="12" t="s">
        <v>387</v>
      </c>
      <c r="E151" s="12" t="s">
        <v>387</v>
      </c>
      <c r="F151" s="41">
        <v>0</v>
      </c>
      <c r="G151" s="42" t="s">
        <v>276</v>
      </c>
    </row>
    <row r="152" spans="1:7">
      <c r="A152" s="12" t="s">
        <v>255</v>
      </c>
      <c r="B152" s="12" t="s">
        <v>382</v>
      </c>
      <c r="C152" s="12" t="s">
        <v>396</v>
      </c>
      <c r="D152" s="40">
        <v>2.5240467452071</v>
      </c>
      <c r="E152" s="40">
        <v>2.524046745207099</v>
      </c>
      <c r="F152" s="41">
        <v>8.881784197001252E-16</v>
      </c>
      <c r="G152" s="42" t="s">
        <v>276</v>
      </c>
    </row>
    <row r="155" spans="1:7">
      <c r="A155" s="8" t="s">
        <v>397</v>
      </c>
    </row>
    <row r="156" spans="1:7" ht="22" customHeight="1">
      <c r="A156" s="10" t="s">
        <v>398</v>
      </c>
      <c r="B156" s="10" t="s">
        <v>399</v>
      </c>
      <c r="C156" s="10" t="s">
        <v>400</v>
      </c>
    </row>
    <row r="157" spans="1:7" ht="34" customHeight="1">
      <c r="A157" s="12" t="s">
        <v>11</v>
      </c>
      <c r="B157" s="12" t="s">
        <v>401</v>
      </c>
      <c r="C157" s="12" t="s">
        <v>402</v>
      </c>
    </row>
    <row r="158" spans="1:7" ht="18" customHeight="1">
      <c r="A158" s="43" t="s">
        <v>403</v>
      </c>
      <c r="B158" s="43"/>
      <c r="C158" s="43"/>
      <c r="D158" s="43"/>
      <c r="E158" s="43"/>
      <c r="F158" s="43"/>
      <c r="G158" s="43"/>
    </row>
    <row r="161" spans="1:7">
      <c r="A161" s="8" t="s">
        <v>404</v>
      </c>
    </row>
    <row r="162" spans="1:7" ht="18" customHeight="1">
      <c r="A162" s="9" t="s">
        <v>405</v>
      </c>
      <c r="B162" s="9"/>
      <c r="C162" s="9"/>
      <c r="D162" s="9"/>
      <c r="E162" s="9"/>
      <c r="F162" s="9"/>
      <c r="G162" s="9"/>
    </row>
    <row r="163" spans="1:7" ht="18" customHeight="1">
      <c r="A163" s="9" t="s">
        <v>406</v>
      </c>
      <c r="B163" s="9"/>
      <c r="C163" s="9"/>
      <c r="D163" s="9"/>
      <c r="E163" s="9"/>
      <c r="F163" s="9"/>
      <c r="G163" s="9"/>
    </row>
    <row r="164" spans="1:7" ht="18" customHeight="1">
      <c r="A164" s="9" t="s">
        <v>407</v>
      </c>
      <c r="B164" s="9"/>
      <c r="C164" s="9"/>
      <c r="D164" s="9"/>
      <c r="E164" s="9"/>
      <c r="F164" s="9"/>
      <c r="G164" s="9"/>
    </row>
    <row r="165" spans="1:7" ht="18" customHeight="1">
      <c r="A165" s="9" t="s">
        <v>408</v>
      </c>
      <c r="B165" s="9"/>
      <c r="C165" s="9"/>
      <c r="D165" s="9"/>
      <c r="E165" s="9"/>
      <c r="F165" s="9"/>
      <c r="G165" s="9"/>
    </row>
    <row r="166" spans="1:7" ht="33" customHeight="1">
      <c r="A166" s="9" t="s">
        <v>409</v>
      </c>
      <c r="B166" s="9"/>
      <c r="C166" s="9"/>
      <c r="D166" s="9"/>
      <c r="E166" s="9"/>
      <c r="F166" s="9"/>
      <c r="G166" s="9"/>
    </row>
  </sheetData>
  <mergeCells count="10">
    <mergeCell ref="A4:G4"/>
    <mergeCell ref="A5:G5"/>
    <mergeCell ref="A8:G8"/>
    <mergeCell ref="A9:G9"/>
    <mergeCell ref="A158:G158"/>
    <mergeCell ref="A162:G162"/>
    <mergeCell ref="A163:G163"/>
    <mergeCell ref="A164:G164"/>
    <mergeCell ref="A165:G165"/>
    <mergeCell ref="A166:G166"/>
  </mergeCells>
  <pageMargins left="0.7" right="0.7" top="0.75" bottom="0.75" header="0.3" footer="0.3"/>
  <pageSetup fitToHeight="0" orientation="landscape"/>
</worksheet>
</file>

<file path=xl/worksheets/sheet11.xml><?xml version="1.0" encoding="utf-8"?>
<worksheet xmlns="http://schemas.openxmlformats.org/spreadsheetml/2006/main" xmlns:r="http://schemas.openxmlformats.org/officeDocument/2006/relationships">
  <sheetPr>
    <tabColor rgb="FF7F7F7F"/>
  </sheetPr>
  <dimension ref="A1:I401"/>
  <sheetViews>
    <sheetView workbookViewId="0">
      <pane ySplit="1" topLeftCell="A2" activePane="bottomLeft" state="frozen"/>
      <selection pane="bottomLeft"/>
    </sheetView>
  </sheetViews>
  <sheetFormatPr defaultRowHeight="15"/>
  <cols>
    <col min="1" max="1" width="26.7109375" customWidth="1"/>
    <col min="2" max="9" width="20.7109375" customWidth="1"/>
  </cols>
  <sheetData>
    <row r="1" spans="1:9">
      <c r="A1" s="15" t="s">
        <v>410</v>
      </c>
      <c r="B1" s="15" t="s">
        <v>411</v>
      </c>
      <c r="C1" s="15" t="s">
        <v>412</v>
      </c>
      <c r="D1" s="15" t="s">
        <v>413</v>
      </c>
      <c r="E1" s="15" t="s">
        <v>414</v>
      </c>
      <c r="F1" s="15" t="s">
        <v>415</v>
      </c>
      <c r="G1" s="15" t="s">
        <v>416</v>
      </c>
      <c r="H1" s="15" t="s">
        <v>417</v>
      </c>
      <c r="I1" s="15" t="s">
        <v>418</v>
      </c>
    </row>
    <row r="2" spans="1:9">
      <c r="A2" t="s">
        <v>419</v>
      </c>
      <c r="B2">
        <v>20</v>
      </c>
      <c r="C2">
        <v>3</v>
      </c>
      <c r="D2">
        <v>2</v>
      </c>
      <c r="E2">
        <v>75.5</v>
      </c>
      <c r="F2">
        <v>243</v>
      </c>
      <c r="G2" t="s">
        <v>420</v>
      </c>
      <c r="H2">
        <v>1</v>
      </c>
      <c r="I2">
        <v>1</v>
      </c>
    </row>
    <row r="3" spans="1:9">
      <c r="A3" t="s">
        <v>421</v>
      </c>
      <c r="B3">
        <v>30</v>
      </c>
      <c r="C3">
        <v>4</v>
      </c>
      <c r="D3">
        <v>4</v>
      </c>
      <c r="E3">
        <v>34.6</v>
      </c>
      <c r="F3">
        <v>39.2</v>
      </c>
      <c r="G3" t="s">
        <v>422</v>
      </c>
      <c r="H3">
        <v>5</v>
      </c>
      <c r="I3">
        <v>6</v>
      </c>
    </row>
    <row r="4" spans="1:9">
      <c r="A4" t="s">
        <v>423</v>
      </c>
      <c r="B4">
        <v>26</v>
      </c>
      <c r="C4">
        <v>1</v>
      </c>
      <c r="D4">
        <v>4</v>
      </c>
      <c r="E4">
        <v>76.40000000000001</v>
      </c>
      <c r="F4">
        <v>270.5</v>
      </c>
      <c r="G4" t="s">
        <v>422</v>
      </c>
      <c r="H4">
        <v>3</v>
      </c>
      <c r="I4">
        <v>3</v>
      </c>
    </row>
    <row r="5" spans="1:9">
      <c r="A5" t="s">
        <v>423</v>
      </c>
      <c r="B5">
        <v>25</v>
      </c>
      <c r="C5">
        <v>0</v>
      </c>
      <c r="D5">
        <v>6</v>
      </c>
      <c r="E5">
        <v>56.8</v>
      </c>
      <c r="F5">
        <v>196.2</v>
      </c>
      <c r="G5" t="s">
        <v>422</v>
      </c>
      <c r="H5">
        <v>2</v>
      </c>
      <c r="I5">
        <v>8</v>
      </c>
    </row>
    <row r="6" spans="1:9">
      <c r="A6" t="s">
        <v>421</v>
      </c>
      <c r="B6">
        <v>48</v>
      </c>
      <c r="C6">
        <v>4</v>
      </c>
      <c r="D6">
        <v>3</v>
      </c>
      <c r="E6">
        <v>82.8</v>
      </c>
      <c r="F6">
        <v>273.6</v>
      </c>
      <c r="G6" t="s">
        <v>420</v>
      </c>
      <c r="H6">
        <v>2</v>
      </c>
      <c r="I6">
        <v>3</v>
      </c>
    </row>
    <row r="7" spans="1:9">
      <c r="A7" t="s">
        <v>423</v>
      </c>
      <c r="B7">
        <v>22</v>
      </c>
      <c r="C7">
        <v>4</v>
      </c>
      <c r="D7">
        <v>3</v>
      </c>
      <c r="E7">
        <v>115.9</v>
      </c>
      <c r="F7">
        <v>363.7</v>
      </c>
      <c r="G7" t="s">
        <v>422</v>
      </c>
      <c r="H7">
        <v>5</v>
      </c>
      <c r="I7">
        <v>6</v>
      </c>
    </row>
    <row r="8" spans="1:9">
      <c r="A8" t="s">
        <v>423</v>
      </c>
      <c r="B8">
        <v>32</v>
      </c>
      <c r="C8">
        <v>0</v>
      </c>
      <c r="D8">
        <v>1</v>
      </c>
      <c r="E8">
        <v>66.09999999999999</v>
      </c>
      <c r="F8">
        <v>262.5</v>
      </c>
      <c r="G8" t="s">
        <v>422</v>
      </c>
      <c r="H8">
        <v>5</v>
      </c>
      <c r="I8">
        <v>7</v>
      </c>
    </row>
    <row r="9" spans="1:9">
      <c r="A9" t="s">
        <v>421</v>
      </c>
      <c r="B9">
        <v>21</v>
      </c>
      <c r="C9">
        <v>3</v>
      </c>
      <c r="D9">
        <v>1</v>
      </c>
      <c r="E9">
        <v>110.6</v>
      </c>
      <c r="F9">
        <v>314.9</v>
      </c>
      <c r="G9" t="s">
        <v>420</v>
      </c>
      <c r="H9">
        <v>5</v>
      </c>
      <c r="I9">
        <v>5</v>
      </c>
    </row>
    <row r="10" spans="1:9">
      <c r="A10" t="s">
        <v>419</v>
      </c>
      <c r="B10">
        <v>39</v>
      </c>
      <c r="C10">
        <v>0</v>
      </c>
      <c r="D10">
        <v>3</v>
      </c>
      <c r="E10">
        <v>93</v>
      </c>
      <c r="F10">
        <v>340</v>
      </c>
      <c r="G10" t="s">
        <v>422</v>
      </c>
      <c r="H10">
        <v>6</v>
      </c>
      <c r="I10">
        <v>8</v>
      </c>
    </row>
    <row r="11" spans="1:9">
      <c r="A11" t="s">
        <v>421</v>
      </c>
      <c r="B11">
        <v>39</v>
      </c>
      <c r="C11">
        <v>2</v>
      </c>
      <c r="D11">
        <v>3</v>
      </c>
      <c r="E11">
        <v>44.9</v>
      </c>
      <c r="F11">
        <v>168.8</v>
      </c>
      <c r="G11" t="s">
        <v>422</v>
      </c>
      <c r="H11">
        <v>6</v>
      </c>
      <c r="I11">
        <v>7</v>
      </c>
    </row>
    <row r="12" spans="1:9">
      <c r="A12" t="s">
        <v>423</v>
      </c>
      <c r="B12">
        <v>28</v>
      </c>
      <c r="C12">
        <v>3</v>
      </c>
      <c r="D12">
        <v>5</v>
      </c>
      <c r="E12">
        <v>54</v>
      </c>
      <c r="F12">
        <v>191.1</v>
      </c>
      <c r="G12" t="s">
        <v>420</v>
      </c>
      <c r="H12">
        <v>4</v>
      </c>
      <c r="I12">
        <v>7</v>
      </c>
    </row>
    <row r="13" spans="1:9">
      <c r="A13" t="s">
        <v>421</v>
      </c>
      <c r="B13">
        <v>38</v>
      </c>
      <c r="C13">
        <v>1</v>
      </c>
      <c r="D13">
        <v>5</v>
      </c>
      <c r="E13">
        <v>33.9</v>
      </c>
      <c r="F13">
        <v>227.7</v>
      </c>
      <c r="G13" t="s">
        <v>420</v>
      </c>
      <c r="H13">
        <v>3</v>
      </c>
      <c r="I13">
        <v>3</v>
      </c>
    </row>
    <row r="14" spans="1:9">
      <c r="A14" t="s">
        <v>423</v>
      </c>
      <c r="B14">
        <v>26</v>
      </c>
      <c r="C14">
        <v>3</v>
      </c>
      <c r="D14">
        <v>3</v>
      </c>
      <c r="E14">
        <v>71.8</v>
      </c>
      <c r="F14">
        <v>138.7</v>
      </c>
      <c r="G14" t="s">
        <v>420</v>
      </c>
      <c r="H14">
        <v>1</v>
      </c>
      <c r="I14">
        <v>1</v>
      </c>
    </row>
    <row r="15" spans="1:9">
      <c r="A15" t="s">
        <v>419</v>
      </c>
      <c r="B15">
        <v>26</v>
      </c>
      <c r="C15">
        <v>1</v>
      </c>
      <c r="D15">
        <v>6</v>
      </c>
      <c r="E15">
        <v>63.6</v>
      </c>
      <c r="F15">
        <v>163.5</v>
      </c>
      <c r="G15" t="s">
        <v>420</v>
      </c>
      <c r="H15">
        <v>5</v>
      </c>
      <c r="I15">
        <v>2</v>
      </c>
    </row>
    <row r="16" spans="1:9">
      <c r="A16" t="s">
        <v>419</v>
      </c>
      <c r="B16">
        <v>44</v>
      </c>
      <c r="C16">
        <v>1</v>
      </c>
      <c r="D16">
        <v>4</v>
      </c>
      <c r="E16">
        <v>93.2</v>
      </c>
      <c r="F16">
        <v>361.8</v>
      </c>
      <c r="G16" t="s">
        <v>420</v>
      </c>
      <c r="H16">
        <v>4</v>
      </c>
      <c r="I16">
        <v>6</v>
      </c>
    </row>
    <row r="17" spans="1:9">
      <c r="A17" t="s">
        <v>423</v>
      </c>
      <c r="B17">
        <v>20</v>
      </c>
      <c r="C17">
        <v>3</v>
      </c>
      <c r="D17">
        <v>5</v>
      </c>
      <c r="E17">
        <v>93.40000000000001</v>
      </c>
      <c r="F17">
        <v>318.3</v>
      </c>
      <c r="G17" t="s">
        <v>422</v>
      </c>
      <c r="H17">
        <v>3</v>
      </c>
      <c r="I17">
        <v>4</v>
      </c>
    </row>
    <row r="18" spans="1:9">
      <c r="A18" t="s">
        <v>421</v>
      </c>
      <c r="B18">
        <v>28</v>
      </c>
      <c r="C18">
        <v>4</v>
      </c>
      <c r="D18">
        <v>4</v>
      </c>
      <c r="E18">
        <v>90.40000000000001</v>
      </c>
      <c r="F18">
        <v>105.3</v>
      </c>
      <c r="G18" t="s">
        <v>422</v>
      </c>
      <c r="H18">
        <v>6</v>
      </c>
      <c r="I18">
        <v>6</v>
      </c>
    </row>
    <row r="19" spans="1:9">
      <c r="A19" t="s">
        <v>423</v>
      </c>
      <c r="B19">
        <v>52</v>
      </c>
      <c r="C19">
        <v>0</v>
      </c>
      <c r="D19">
        <v>3</v>
      </c>
      <c r="E19">
        <v>133.3</v>
      </c>
      <c r="F19">
        <v>141</v>
      </c>
      <c r="G19" t="s">
        <v>422</v>
      </c>
      <c r="H19">
        <v>4</v>
      </c>
      <c r="I19">
        <v>4</v>
      </c>
    </row>
    <row r="20" spans="1:9">
      <c r="A20" t="s">
        <v>423</v>
      </c>
      <c r="B20">
        <v>26</v>
      </c>
      <c r="C20">
        <v>0</v>
      </c>
      <c r="D20">
        <v>3</v>
      </c>
      <c r="E20">
        <v>95</v>
      </c>
      <c r="F20">
        <v>273.4</v>
      </c>
      <c r="G20" t="s">
        <v>420</v>
      </c>
      <c r="H20">
        <v>2</v>
      </c>
      <c r="I20">
        <v>8</v>
      </c>
    </row>
    <row r="21" spans="1:9">
      <c r="A21" t="s">
        <v>421</v>
      </c>
      <c r="B21">
        <v>29</v>
      </c>
      <c r="C21">
        <v>2</v>
      </c>
      <c r="D21">
        <v>4</v>
      </c>
      <c r="E21">
        <v>99.59999999999999</v>
      </c>
      <c r="F21">
        <v>322</v>
      </c>
      <c r="G21" t="s">
        <v>420</v>
      </c>
      <c r="H21">
        <v>1</v>
      </c>
      <c r="I21">
        <v>0</v>
      </c>
    </row>
    <row r="22" spans="1:9">
      <c r="A22" t="s">
        <v>419</v>
      </c>
      <c r="B22">
        <v>25</v>
      </c>
      <c r="C22">
        <v>0</v>
      </c>
      <c r="D22">
        <v>5</v>
      </c>
      <c r="E22">
        <v>82.7</v>
      </c>
      <c r="F22">
        <v>301</v>
      </c>
      <c r="G22" t="s">
        <v>422</v>
      </c>
      <c r="H22">
        <v>4</v>
      </c>
      <c r="I22">
        <v>4</v>
      </c>
    </row>
    <row r="23" spans="1:9">
      <c r="A23" t="s">
        <v>419</v>
      </c>
      <c r="B23">
        <v>24</v>
      </c>
      <c r="C23">
        <v>4</v>
      </c>
      <c r="D23">
        <v>4</v>
      </c>
      <c r="E23">
        <v>76</v>
      </c>
      <c r="F23">
        <v>127.5</v>
      </c>
      <c r="G23" t="s">
        <v>420</v>
      </c>
      <c r="H23">
        <v>2</v>
      </c>
      <c r="I23">
        <v>7</v>
      </c>
    </row>
    <row r="24" spans="1:9">
      <c r="A24" t="s">
        <v>421</v>
      </c>
      <c r="B24">
        <v>27</v>
      </c>
      <c r="C24">
        <v>3</v>
      </c>
      <c r="D24">
        <v>5</v>
      </c>
      <c r="E24">
        <v>56.5</v>
      </c>
      <c r="F24">
        <v>15.1</v>
      </c>
      <c r="G24" t="s">
        <v>420</v>
      </c>
      <c r="H24">
        <v>2</v>
      </c>
      <c r="I24">
        <v>3</v>
      </c>
    </row>
    <row r="25" spans="1:9">
      <c r="A25" t="s">
        <v>419</v>
      </c>
      <c r="B25">
        <v>29</v>
      </c>
      <c r="C25">
        <v>2</v>
      </c>
      <c r="D25">
        <v>2</v>
      </c>
      <c r="E25">
        <v>124.6</v>
      </c>
      <c r="F25">
        <v>255.9</v>
      </c>
      <c r="G25" t="s">
        <v>420</v>
      </c>
      <c r="H25">
        <v>4</v>
      </c>
      <c r="I25">
        <v>3</v>
      </c>
    </row>
    <row r="26" spans="1:9">
      <c r="A26" t="s">
        <v>423</v>
      </c>
      <c r="B26">
        <v>26</v>
      </c>
      <c r="C26">
        <v>1</v>
      </c>
      <c r="D26">
        <v>5</v>
      </c>
      <c r="E26">
        <v>102.2</v>
      </c>
      <c r="F26">
        <v>339.7</v>
      </c>
      <c r="G26" t="s">
        <v>422</v>
      </c>
      <c r="H26">
        <v>2</v>
      </c>
      <c r="I26">
        <v>6</v>
      </c>
    </row>
    <row r="27" spans="1:9">
      <c r="A27" t="s">
        <v>421</v>
      </c>
      <c r="B27">
        <v>24</v>
      </c>
      <c r="C27">
        <v>4</v>
      </c>
      <c r="D27">
        <v>5</v>
      </c>
      <c r="E27">
        <v>106.3</v>
      </c>
      <c r="F27">
        <v>162.1</v>
      </c>
      <c r="G27" t="s">
        <v>422</v>
      </c>
      <c r="H27">
        <v>6</v>
      </c>
      <c r="I27">
        <v>8</v>
      </c>
    </row>
    <row r="28" spans="1:9">
      <c r="A28" t="s">
        <v>421</v>
      </c>
      <c r="B28">
        <v>33</v>
      </c>
      <c r="C28">
        <v>2</v>
      </c>
      <c r="D28">
        <v>6</v>
      </c>
      <c r="E28">
        <v>73.90000000000001</v>
      </c>
      <c r="F28">
        <v>348.5</v>
      </c>
      <c r="G28" t="s">
        <v>422</v>
      </c>
      <c r="H28">
        <v>3</v>
      </c>
      <c r="I28">
        <v>6</v>
      </c>
    </row>
    <row r="29" spans="1:9">
      <c r="A29" t="s">
        <v>421</v>
      </c>
      <c r="B29">
        <v>34</v>
      </c>
      <c r="C29">
        <v>4</v>
      </c>
      <c r="D29">
        <v>2</v>
      </c>
      <c r="E29">
        <v>43.2</v>
      </c>
      <c r="F29">
        <v>395.8</v>
      </c>
      <c r="G29" t="s">
        <v>422</v>
      </c>
      <c r="H29">
        <v>3</v>
      </c>
      <c r="I29">
        <v>5</v>
      </c>
    </row>
    <row r="30" spans="1:9">
      <c r="A30" t="s">
        <v>421</v>
      </c>
      <c r="B30">
        <v>28</v>
      </c>
      <c r="C30">
        <v>0</v>
      </c>
      <c r="D30">
        <v>3</v>
      </c>
      <c r="E30">
        <v>57.9</v>
      </c>
      <c r="F30">
        <v>175.4</v>
      </c>
      <c r="G30" t="s">
        <v>420</v>
      </c>
      <c r="H30">
        <v>6</v>
      </c>
      <c r="I30">
        <v>2</v>
      </c>
    </row>
    <row r="31" spans="1:9">
      <c r="A31" t="s">
        <v>421</v>
      </c>
      <c r="B31">
        <v>36</v>
      </c>
      <c r="C31">
        <v>4</v>
      </c>
      <c r="D31">
        <v>4</v>
      </c>
      <c r="E31">
        <v>47.4</v>
      </c>
      <c r="F31">
        <v>172.7</v>
      </c>
      <c r="G31" t="s">
        <v>420</v>
      </c>
      <c r="H31">
        <v>4</v>
      </c>
      <c r="I31">
        <v>2</v>
      </c>
    </row>
    <row r="32" spans="1:9">
      <c r="A32" t="s">
        <v>421</v>
      </c>
      <c r="B32">
        <v>16</v>
      </c>
      <c r="C32">
        <v>0</v>
      </c>
      <c r="D32">
        <v>5</v>
      </c>
      <c r="E32">
        <v>101</v>
      </c>
      <c r="F32">
        <v>29.9</v>
      </c>
      <c r="G32" t="s">
        <v>422</v>
      </c>
      <c r="H32">
        <v>6</v>
      </c>
      <c r="I32">
        <v>7</v>
      </c>
    </row>
    <row r="33" spans="1:9">
      <c r="A33" t="s">
        <v>421</v>
      </c>
      <c r="B33">
        <v>27</v>
      </c>
      <c r="C33">
        <v>2</v>
      </c>
      <c r="D33">
        <v>4</v>
      </c>
      <c r="E33">
        <v>96.3</v>
      </c>
      <c r="F33">
        <v>395.8</v>
      </c>
      <c r="G33" t="s">
        <v>422</v>
      </c>
      <c r="H33">
        <v>2</v>
      </c>
      <c r="I33">
        <v>5</v>
      </c>
    </row>
    <row r="34" spans="1:9">
      <c r="A34" t="s">
        <v>421</v>
      </c>
      <c r="B34">
        <v>23</v>
      </c>
      <c r="C34">
        <v>3</v>
      </c>
      <c r="D34">
        <v>2</v>
      </c>
      <c r="E34">
        <v>75.90000000000001</v>
      </c>
      <c r="F34">
        <v>51.1</v>
      </c>
      <c r="G34" t="s">
        <v>422</v>
      </c>
      <c r="H34">
        <v>2</v>
      </c>
      <c r="I34">
        <v>3</v>
      </c>
    </row>
    <row r="35" spans="1:9">
      <c r="A35" t="s">
        <v>421</v>
      </c>
      <c r="B35">
        <v>23</v>
      </c>
      <c r="C35">
        <v>3</v>
      </c>
      <c r="D35">
        <v>4</v>
      </c>
      <c r="E35">
        <v>57.3</v>
      </c>
      <c r="F35">
        <v>82.8</v>
      </c>
      <c r="G35" t="s">
        <v>422</v>
      </c>
      <c r="H35">
        <v>1</v>
      </c>
      <c r="I35">
        <v>0</v>
      </c>
    </row>
    <row r="36" spans="1:9">
      <c r="A36" t="s">
        <v>421</v>
      </c>
      <c r="B36">
        <v>22</v>
      </c>
      <c r="C36">
        <v>4</v>
      </c>
      <c r="D36">
        <v>3</v>
      </c>
      <c r="E36">
        <v>137.6</v>
      </c>
      <c r="F36">
        <v>397.9</v>
      </c>
      <c r="G36" t="s">
        <v>420</v>
      </c>
      <c r="H36">
        <v>5</v>
      </c>
      <c r="I36">
        <v>2</v>
      </c>
    </row>
    <row r="37" spans="1:9">
      <c r="A37" t="s">
        <v>421</v>
      </c>
      <c r="B37">
        <v>31</v>
      </c>
      <c r="C37">
        <v>3</v>
      </c>
      <c r="D37">
        <v>3</v>
      </c>
      <c r="E37">
        <v>132.2</v>
      </c>
      <c r="F37">
        <v>138.8</v>
      </c>
      <c r="G37" t="s">
        <v>420</v>
      </c>
      <c r="H37">
        <v>2</v>
      </c>
      <c r="I37">
        <v>3</v>
      </c>
    </row>
    <row r="38" spans="1:9">
      <c r="A38" t="s">
        <v>421</v>
      </c>
      <c r="B38">
        <v>28</v>
      </c>
      <c r="C38">
        <v>1</v>
      </c>
      <c r="D38">
        <v>4</v>
      </c>
      <c r="E38">
        <v>80</v>
      </c>
      <c r="F38">
        <v>236.2</v>
      </c>
      <c r="G38" t="s">
        <v>422</v>
      </c>
      <c r="H38">
        <v>2</v>
      </c>
      <c r="I38">
        <v>8</v>
      </c>
    </row>
    <row r="39" spans="1:9">
      <c r="A39" t="s">
        <v>421</v>
      </c>
      <c r="B39">
        <v>25</v>
      </c>
      <c r="C39">
        <v>1</v>
      </c>
      <c r="D39">
        <v>4</v>
      </c>
      <c r="E39">
        <v>51.7</v>
      </c>
      <c r="F39">
        <v>178.8</v>
      </c>
      <c r="G39" t="s">
        <v>420</v>
      </c>
      <c r="H39">
        <v>3</v>
      </c>
      <c r="I39">
        <v>2</v>
      </c>
    </row>
    <row r="40" spans="1:9">
      <c r="A40" t="s">
        <v>419</v>
      </c>
      <c r="B40">
        <v>18</v>
      </c>
      <c r="C40">
        <v>0</v>
      </c>
      <c r="D40">
        <v>4</v>
      </c>
      <c r="E40">
        <v>102.1</v>
      </c>
      <c r="F40">
        <v>380.3</v>
      </c>
      <c r="G40" t="s">
        <v>422</v>
      </c>
      <c r="H40">
        <v>1</v>
      </c>
      <c r="I40">
        <v>0</v>
      </c>
    </row>
    <row r="41" spans="1:9">
      <c r="A41" t="s">
        <v>423</v>
      </c>
      <c r="B41">
        <v>37</v>
      </c>
      <c r="C41">
        <v>1</v>
      </c>
      <c r="D41">
        <v>2</v>
      </c>
      <c r="E41">
        <v>43.4</v>
      </c>
      <c r="F41">
        <v>136.4</v>
      </c>
      <c r="G41" t="s">
        <v>420</v>
      </c>
      <c r="H41">
        <v>1</v>
      </c>
      <c r="I41">
        <v>0</v>
      </c>
    </row>
    <row r="42" spans="1:9">
      <c r="A42" t="s">
        <v>421</v>
      </c>
      <c r="B42">
        <v>32</v>
      </c>
      <c r="C42">
        <v>4</v>
      </c>
      <c r="D42">
        <v>4</v>
      </c>
      <c r="E42">
        <v>115.6</v>
      </c>
      <c r="F42">
        <v>236.9</v>
      </c>
      <c r="G42" t="s">
        <v>420</v>
      </c>
      <c r="H42">
        <v>1</v>
      </c>
      <c r="I42">
        <v>1</v>
      </c>
    </row>
    <row r="43" spans="1:9">
      <c r="A43" t="s">
        <v>421</v>
      </c>
      <c r="B43">
        <v>24</v>
      </c>
      <c r="C43">
        <v>4</v>
      </c>
      <c r="D43">
        <v>5</v>
      </c>
      <c r="E43">
        <v>52.4</v>
      </c>
      <c r="F43">
        <v>164.8</v>
      </c>
      <c r="G43" t="s">
        <v>420</v>
      </c>
      <c r="H43">
        <v>4</v>
      </c>
      <c r="I43">
        <v>2</v>
      </c>
    </row>
    <row r="44" spans="1:9">
      <c r="A44" t="s">
        <v>419</v>
      </c>
      <c r="B44">
        <v>25</v>
      </c>
      <c r="C44">
        <v>0</v>
      </c>
      <c r="D44">
        <v>4</v>
      </c>
      <c r="E44">
        <v>65.90000000000001</v>
      </c>
      <c r="F44">
        <v>275.1</v>
      </c>
      <c r="G44" t="s">
        <v>420</v>
      </c>
      <c r="H44">
        <v>2</v>
      </c>
      <c r="I44">
        <v>3</v>
      </c>
    </row>
    <row r="45" spans="1:9">
      <c r="A45" t="s">
        <v>421</v>
      </c>
      <c r="B45">
        <v>19</v>
      </c>
      <c r="C45">
        <v>3</v>
      </c>
      <c r="D45">
        <v>3</v>
      </c>
      <c r="E45">
        <v>110.1</v>
      </c>
      <c r="F45">
        <v>93.09999999999999</v>
      </c>
      <c r="G45" t="s">
        <v>420</v>
      </c>
      <c r="H45">
        <v>1</v>
      </c>
      <c r="I45">
        <v>1</v>
      </c>
    </row>
    <row r="46" spans="1:9">
      <c r="A46" t="s">
        <v>423</v>
      </c>
      <c r="B46">
        <v>40</v>
      </c>
      <c r="C46">
        <v>3</v>
      </c>
      <c r="D46">
        <v>4</v>
      </c>
      <c r="E46">
        <v>71.09999999999999</v>
      </c>
      <c r="F46">
        <v>259.9</v>
      </c>
      <c r="G46" t="s">
        <v>420</v>
      </c>
      <c r="H46">
        <v>1</v>
      </c>
      <c r="I46">
        <v>0</v>
      </c>
    </row>
    <row r="47" spans="1:9">
      <c r="A47" t="s">
        <v>421</v>
      </c>
      <c r="B47">
        <v>33</v>
      </c>
      <c r="C47">
        <v>2</v>
      </c>
      <c r="D47">
        <v>4</v>
      </c>
      <c r="E47">
        <v>89.09999999999999</v>
      </c>
      <c r="F47">
        <v>308.6</v>
      </c>
      <c r="G47" t="s">
        <v>422</v>
      </c>
      <c r="H47">
        <v>9</v>
      </c>
      <c r="I47">
        <v>8</v>
      </c>
    </row>
    <row r="48" spans="1:9">
      <c r="A48" t="s">
        <v>419</v>
      </c>
      <c r="B48">
        <v>35</v>
      </c>
      <c r="C48">
        <v>1</v>
      </c>
      <c r="D48">
        <v>2</v>
      </c>
      <c r="E48">
        <v>58.5</v>
      </c>
      <c r="F48">
        <v>393.8</v>
      </c>
      <c r="G48" t="s">
        <v>420</v>
      </c>
      <c r="H48">
        <v>17</v>
      </c>
      <c r="I48">
        <v>16</v>
      </c>
    </row>
    <row r="49" spans="1:9">
      <c r="A49" t="s">
        <v>421</v>
      </c>
      <c r="B49">
        <v>33</v>
      </c>
      <c r="C49">
        <v>4</v>
      </c>
      <c r="D49">
        <v>5</v>
      </c>
      <c r="E49">
        <v>116.8</v>
      </c>
      <c r="F49">
        <v>394</v>
      </c>
      <c r="G49" t="s">
        <v>420</v>
      </c>
      <c r="H49">
        <v>9</v>
      </c>
      <c r="I49">
        <v>6</v>
      </c>
    </row>
    <row r="50" spans="1:9">
      <c r="A50" t="s">
        <v>423</v>
      </c>
      <c r="B50">
        <v>32</v>
      </c>
      <c r="C50">
        <v>4</v>
      </c>
      <c r="D50">
        <v>1</v>
      </c>
      <c r="E50">
        <v>116.5</v>
      </c>
      <c r="F50">
        <v>323.4</v>
      </c>
      <c r="G50" t="s">
        <v>420</v>
      </c>
      <c r="H50">
        <v>10</v>
      </c>
      <c r="I50">
        <v>6</v>
      </c>
    </row>
    <row r="51" spans="1:9">
      <c r="A51" t="s">
        <v>419</v>
      </c>
      <c r="B51">
        <v>25</v>
      </c>
      <c r="C51">
        <v>3</v>
      </c>
      <c r="D51">
        <v>3</v>
      </c>
      <c r="E51">
        <v>131.6</v>
      </c>
      <c r="F51">
        <v>170.9</v>
      </c>
      <c r="G51" t="s">
        <v>422</v>
      </c>
      <c r="H51">
        <v>8</v>
      </c>
      <c r="I51">
        <v>7</v>
      </c>
    </row>
    <row r="52" spans="1:9">
      <c r="A52" t="s">
        <v>423</v>
      </c>
      <c r="B52">
        <v>23</v>
      </c>
      <c r="C52">
        <v>3</v>
      </c>
      <c r="D52">
        <v>4</v>
      </c>
      <c r="E52">
        <v>113.1</v>
      </c>
      <c r="F52">
        <v>262.9</v>
      </c>
      <c r="G52" t="s">
        <v>420</v>
      </c>
      <c r="H52">
        <v>4</v>
      </c>
      <c r="I52">
        <v>7</v>
      </c>
    </row>
    <row r="53" spans="1:9">
      <c r="A53" t="s">
        <v>419</v>
      </c>
      <c r="B53">
        <v>22</v>
      </c>
      <c r="C53">
        <v>1</v>
      </c>
      <c r="D53">
        <v>4</v>
      </c>
      <c r="E53">
        <v>41.8</v>
      </c>
      <c r="F53">
        <v>192.7</v>
      </c>
      <c r="G53" t="s">
        <v>422</v>
      </c>
      <c r="H53">
        <v>1</v>
      </c>
      <c r="I53">
        <v>0</v>
      </c>
    </row>
    <row r="54" spans="1:9">
      <c r="A54" t="s">
        <v>423</v>
      </c>
      <c r="B54">
        <v>24</v>
      </c>
      <c r="C54">
        <v>4</v>
      </c>
      <c r="D54">
        <v>6</v>
      </c>
      <c r="E54">
        <v>32.9</v>
      </c>
      <c r="F54">
        <v>272.8</v>
      </c>
      <c r="G54" t="s">
        <v>422</v>
      </c>
      <c r="H54">
        <v>7</v>
      </c>
      <c r="I54">
        <v>7</v>
      </c>
    </row>
    <row r="55" spans="1:9">
      <c r="A55" t="s">
        <v>421</v>
      </c>
      <c r="B55">
        <v>26</v>
      </c>
      <c r="C55">
        <v>2</v>
      </c>
      <c r="D55">
        <v>4</v>
      </c>
      <c r="E55">
        <v>37.2</v>
      </c>
      <c r="F55">
        <v>376.1</v>
      </c>
      <c r="G55" t="s">
        <v>422</v>
      </c>
      <c r="H55">
        <v>2</v>
      </c>
      <c r="I55">
        <v>2</v>
      </c>
    </row>
    <row r="56" spans="1:9">
      <c r="A56" t="s">
        <v>419</v>
      </c>
      <c r="B56">
        <v>30</v>
      </c>
      <c r="C56">
        <v>1</v>
      </c>
      <c r="D56">
        <v>1</v>
      </c>
      <c r="E56">
        <v>53.1</v>
      </c>
      <c r="F56">
        <v>3.5</v>
      </c>
      <c r="G56" t="s">
        <v>420</v>
      </c>
      <c r="H56">
        <v>12</v>
      </c>
      <c r="I56">
        <v>15</v>
      </c>
    </row>
    <row r="57" spans="1:9">
      <c r="A57" t="s">
        <v>419</v>
      </c>
      <c r="B57">
        <v>23</v>
      </c>
      <c r="C57">
        <v>4</v>
      </c>
      <c r="D57">
        <v>2</v>
      </c>
      <c r="E57">
        <v>100.4</v>
      </c>
      <c r="F57">
        <v>237.9</v>
      </c>
      <c r="G57" t="s">
        <v>420</v>
      </c>
      <c r="H57">
        <v>7</v>
      </c>
      <c r="I57">
        <v>3</v>
      </c>
    </row>
    <row r="58" spans="1:9">
      <c r="A58" t="s">
        <v>419</v>
      </c>
      <c r="B58">
        <v>21</v>
      </c>
      <c r="C58">
        <v>2</v>
      </c>
      <c r="D58">
        <v>2</v>
      </c>
      <c r="E58">
        <v>94.09999999999999</v>
      </c>
      <c r="F58">
        <v>147</v>
      </c>
      <c r="G58" t="s">
        <v>420</v>
      </c>
      <c r="H58">
        <v>4</v>
      </c>
      <c r="I58">
        <v>4</v>
      </c>
    </row>
    <row r="59" spans="1:9">
      <c r="A59" t="s">
        <v>423</v>
      </c>
      <c r="B59">
        <v>21</v>
      </c>
      <c r="C59">
        <v>4</v>
      </c>
      <c r="D59">
        <v>6</v>
      </c>
      <c r="E59">
        <v>35.4</v>
      </c>
      <c r="F59">
        <v>28.7</v>
      </c>
      <c r="G59" t="s">
        <v>422</v>
      </c>
      <c r="H59">
        <v>2</v>
      </c>
      <c r="I59">
        <v>6</v>
      </c>
    </row>
    <row r="60" spans="1:9">
      <c r="A60" t="s">
        <v>423</v>
      </c>
      <c r="B60">
        <v>25</v>
      </c>
      <c r="C60">
        <v>3</v>
      </c>
      <c r="D60">
        <v>3</v>
      </c>
      <c r="E60">
        <v>133.8</v>
      </c>
      <c r="F60">
        <v>150.3</v>
      </c>
      <c r="G60" t="s">
        <v>420</v>
      </c>
      <c r="H60">
        <v>8</v>
      </c>
      <c r="I60">
        <v>3</v>
      </c>
    </row>
    <row r="61" spans="1:9">
      <c r="A61" t="s">
        <v>423</v>
      </c>
      <c r="B61">
        <v>23</v>
      </c>
      <c r="C61">
        <v>3</v>
      </c>
      <c r="D61">
        <v>4</v>
      </c>
      <c r="E61">
        <v>93.5</v>
      </c>
      <c r="F61">
        <v>305</v>
      </c>
      <c r="G61" t="s">
        <v>420</v>
      </c>
      <c r="H61">
        <v>6</v>
      </c>
      <c r="I61">
        <v>2</v>
      </c>
    </row>
    <row r="62" spans="1:9">
      <c r="A62" t="s">
        <v>423</v>
      </c>
      <c r="B62">
        <v>42</v>
      </c>
      <c r="C62">
        <v>4</v>
      </c>
      <c r="D62">
        <v>4</v>
      </c>
      <c r="E62">
        <v>68.3</v>
      </c>
      <c r="F62">
        <v>264.2</v>
      </c>
      <c r="G62" t="s">
        <v>420</v>
      </c>
      <c r="H62">
        <v>19</v>
      </c>
      <c r="I62">
        <v>16</v>
      </c>
    </row>
    <row r="63" spans="1:9">
      <c r="A63" t="s">
        <v>419</v>
      </c>
      <c r="B63">
        <v>25</v>
      </c>
      <c r="C63">
        <v>4</v>
      </c>
      <c r="D63">
        <v>6</v>
      </c>
      <c r="E63">
        <v>60.7</v>
      </c>
      <c r="F63">
        <v>294.1</v>
      </c>
      <c r="G63" t="s">
        <v>422</v>
      </c>
      <c r="H63">
        <v>3</v>
      </c>
      <c r="I63">
        <v>5</v>
      </c>
    </row>
    <row r="64" spans="1:9">
      <c r="A64" t="s">
        <v>419</v>
      </c>
      <c r="B64">
        <v>46</v>
      </c>
      <c r="C64">
        <v>0</v>
      </c>
      <c r="D64">
        <v>2</v>
      </c>
      <c r="E64">
        <v>69.2</v>
      </c>
      <c r="F64">
        <v>341.5</v>
      </c>
      <c r="G64" t="s">
        <v>422</v>
      </c>
      <c r="H64">
        <v>20</v>
      </c>
      <c r="I64">
        <v>12</v>
      </c>
    </row>
    <row r="65" spans="1:9">
      <c r="A65" t="s">
        <v>419</v>
      </c>
      <c r="B65">
        <v>29</v>
      </c>
      <c r="C65">
        <v>1</v>
      </c>
      <c r="D65">
        <v>2</v>
      </c>
      <c r="E65">
        <v>38.2</v>
      </c>
      <c r="F65">
        <v>366.9</v>
      </c>
      <c r="G65" t="s">
        <v>420</v>
      </c>
      <c r="H65">
        <v>11</v>
      </c>
      <c r="I65">
        <v>18</v>
      </c>
    </row>
    <row r="66" spans="1:9">
      <c r="A66" t="s">
        <v>419</v>
      </c>
      <c r="B66">
        <v>32</v>
      </c>
      <c r="C66">
        <v>4</v>
      </c>
      <c r="D66">
        <v>4</v>
      </c>
      <c r="E66">
        <v>85.59999999999999</v>
      </c>
      <c r="F66">
        <v>356.3</v>
      </c>
      <c r="G66" t="s">
        <v>420</v>
      </c>
      <c r="H66">
        <v>12</v>
      </c>
      <c r="I66">
        <v>19</v>
      </c>
    </row>
    <row r="67" spans="1:9">
      <c r="A67" t="s">
        <v>421</v>
      </c>
      <c r="B67">
        <v>21</v>
      </c>
      <c r="C67">
        <v>1</v>
      </c>
      <c r="D67">
        <v>1</v>
      </c>
      <c r="E67">
        <v>87.5</v>
      </c>
      <c r="F67">
        <v>53.9</v>
      </c>
      <c r="G67" t="s">
        <v>420</v>
      </c>
      <c r="H67">
        <v>2</v>
      </c>
      <c r="I67">
        <v>5</v>
      </c>
    </row>
    <row r="68" spans="1:9">
      <c r="A68" t="s">
        <v>419</v>
      </c>
      <c r="B68">
        <v>33</v>
      </c>
      <c r="C68">
        <v>1</v>
      </c>
      <c r="D68">
        <v>3</v>
      </c>
      <c r="E68">
        <v>120.7</v>
      </c>
      <c r="F68">
        <v>284.8</v>
      </c>
      <c r="G68" t="s">
        <v>422</v>
      </c>
      <c r="H68">
        <v>15</v>
      </c>
      <c r="I68">
        <v>16</v>
      </c>
    </row>
    <row r="69" spans="1:9">
      <c r="A69" t="s">
        <v>421</v>
      </c>
      <c r="B69">
        <v>20</v>
      </c>
      <c r="C69">
        <v>2</v>
      </c>
      <c r="D69">
        <v>6</v>
      </c>
      <c r="E69">
        <v>119.2</v>
      </c>
      <c r="F69">
        <v>209.1</v>
      </c>
      <c r="G69" t="s">
        <v>420</v>
      </c>
      <c r="H69">
        <v>1</v>
      </c>
      <c r="I69">
        <v>1</v>
      </c>
    </row>
    <row r="70" spans="1:9">
      <c r="A70" t="s">
        <v>419</v>
      </c>
      <c r="B70">
        <v>33</v>
      </c>
      <c r="C70">
        <v>0</v>
      </c>
      <c r="D70">
        <v>3</v>
      </c>
      <c r="E70">
        <v>100.5</v>
      </c>
      <c r="F70">
        <v>378.8</v>
      </c>
      <c r="G70" t="s">
        <v>422</v>
      </c>
      <c r="H70">
        <v>13</v>
      </c>
      <c r="I70">
        <v>15</v>
      </c>
    </row>
    <row r="71" spans="1:9">
      <c r="A71" t="s">
        <v>421</v>
      </c>
      <c r="B71">
        <v>24</v>
      </c>
      <c r="C71">
        <v>4</v>
      </c>
      <c r="D71">
        <v>3</v>
      </c>
      <c r="E71">
        <v>116.6</v>
      </c>
      <c r="F71">
        <v>52.5</v>
      </c>
      <c r="G71" t="s">
        <v>422</v>
      </c>
      <c r="H71">
        <v>2</v>
      </c>
      <c r="I71">
        <v>2</v>
      </c>
    </row>
    <row r="72" spans="1:9">
      <c r="A72" t="s">
        <v>419</v>
      </c>
      <c r="B72">
        <v>33</v>
      </c>
      <c r="C72">
        <v>2</v>
      </c>
      <c r="D72">
        <v>5</v>
      </c>
      <c r="E72">
        <v>126</v>
      </c>
      <c r="F72">
        <v>10.7</v>
      </c>
      <c r="G72" t="s">
        <v>420</v>
      </c>
      <c r="H72">
        <v>2</v>
      </c>
      <c r="I72">
        <v>2</v>
      </c>
    </row>
    <row r="73" spans="1:9">
      <c r="A73" t="s">
        <v>421</v>
      </c>
      <c r="B73">
        <v>32</v>
      </c>
      <c r="C73">
        <v>0</v>
      </c>
      <c r="D73">
        <v>3</v>
      </c>
      <c r="E73">
        <v>92.59999999999999</v>
      </c>
      <c r="F73">
        <v>111.8</v>
      </c>
      <c r="G73" t="s">
        <v>420</v>
      </c>
      <c r="H73">
        <v>0</v>
      </c>
      <c r="I73">
        <v>0</v>
      </c>
    </row>
    <row r="74" spans="1:9">
      <c r="A74" t="s">
        <v>423</v>
      </c>
      <c r="B74">
        <v>25</v>
      </c>
      <c r="C74">
        <v>2</v>
      </c>
      <c r="D74">
        <v>2</v>
      </c>
      <c r="E74">
        <v>66</v>
      </c>
      <c r="F74">
        <v>153.3</v>
      </c>
      <c r="G74" t="s">
        <v>422</v>
      </c>
      <c r="H74">
        <v>2</v>
      </c>
      <c r="I74">
        <v>7</v>
      </c>
    </row>
    <row r="75" spans="1:9">
      <c r="A75" t="s">
        <v>421</v>
      </c>
      <c r="B75">
        <v>25</v>
      </c>
      <c r="C75">
        <v>0</v>
      </c>
      <c r="D75">
        <v>6</v>
      </c>
      <c r="E75">
        <v>77</v>
      </c>
      <c r="F75">
        <v>105.7</v>
      </c>
      <c r="G75" t="s">
        <v>420</v>
      </c>
      <c r="H75">
        <v>3</v>
      </c>
      <c r="I75">
        <v>2</v>
      </c>
    </row>
    <row r="76" spans="1:9">
      <c r="A76" t="s">
        <v>419</v>
      </c>
      <c r="B76">
        <v>37</v>
      </c>
      <c r="C76">
        <v>0</v>
      </c>
      <c r="D76">
        <v>2</v>
      </c>
      <c r="E76">
        <v>89.2</v>
      </c>
      <c r="F76">
        <v>130.5</v>
      </c>
      <c r="G76" t="s">
        <v>422</v>
      </c>
      <c r="H76">
        <v>1</v>
      </c>
      <c r="I76">
        <v>0</v>
      </c>
    </row>
    <row r="77" spans="1:9">
      <c r="A77" t="s">
        <v>423</v>
      </c>
      <c r="B77">
        <v>25</v>
      </c>
      <c r="C77">
        <v>2</v>
      </c>
      <c r="D77">
        <v>3</v>
      </c>
      <c r="E77">
        <v>46</v>
      </c>
      <c r="F77">
        <v>327.3</v>
      </c>
      <c r="G77" t="s">
        <v>422</v>
      </c>
      <c r="H77">
        <v>3</v>
      </c>
      <c r="I77">
        <v>8</v>
      </c>
    </row>
    <row r="78" spans="1:9">
      <c r="A78" t="s">
        <v>421</v>
      </c>
      <c r="B78">
        <v>26</v>
      </c>
      <c r="C78">
        <v>2</v>
      </c>
      <c r="D78">
        <v>5</v>
      </c>
      <c r="E78">
        <v>135.8</v>
      </c>
      <c r="F78">
        <v>94.2</v>
      </c>
      <c r="G78" t="s">
        <v>420</v>
      </c>
      <c r="H78">
        <v>0</v>
      </c>
      <c r="I78">
        <v>0</v>
      </c>
    </row>
    <row r="79" spans="1:9">
      <c r="A79" t="s">
        <v>421</v>
      </c>
      <c r="B79">
        <v>30</v>
      </c>
      <c r="C79">
        <v>3</v>
      </c>
      <c r="D79">
        <v>6</v>
      </c>
      <c r="E79">
        <v>126.7</v>
      </c>
      <c r="F79">
        <v>26</v>
      </c>
      <c r="G79" t="s">
        <v>422</v>
      </c>
      <c r="H79">
        <v>0</v>
      </c>
      <c r="I79">
        <v>0</v>
      </c>
    </row>
    <row r="80" spans="1:9">
      <c r="A80" t="s">
        <v>423</v>
      </c>
      <c r="B80">
        <v>35</v>
      </c>
      <c r="C80">
        <v>2</v>
      </c>
      <c r="D80">
        <v>4</v>
      </c>
      <c r="E80">
        <v>75.40000000000001</v>
      </c>
      <c r="F80">
        <v>93.5</v>
      </c>
      <c r="G80" t="s">
        <v>420</v>
      </c>
      <c r="H80">
        <v>0</v>
      </c>
      <c r="I80">
        <v>2</v>
      </c>
    </row>
    <row r="81" spans="1:9">
      <c r="A81" t="s">
        <v>421</v>
      </c>
      <c r="B81">
        <v>33</v>
      </c>
      <c r="C81">
        <v>3</v>
      </c>
      <c r="D81">
        <v>1</v>
      </c>
      <c r="E81">
        <v>114.7</v>
      </c>
      <c r="F81">
        <v>72.2</v>
      </c>
      <c r="G81" t="s">
        <v>420</v>
      </c>
      <c r="H81">
        <v>0</v>
      </c>
      <c r="I81">
        <v>1</v>
      </c>
    </row>
    <row r="82" spans="1:9">
      <c r="A82" t="s">
        <v>419</v>
      </c>
      <c r="B82">
        <v>29</v>
      </c>
      <c r="C82">
        <v>1</v>
      </c>
      <c r="D82">
        <v>6</v>
      </c>
      <c r="E82">
        <v>93.2</v>
      </c>
      <c r="F82">
        <v>12.5</v>
      </c>
      <c r="G82" t="s">
        <v>422</v>
      </c>
      <c r="H82">
        <v>1</v>
      </c>
      <c r="I82">
        <v>0</v>
      </c>
    </row>
    <row r="83" spans="1:9">
      <c r="A83" t="s">
        <v>419</v>
      </c>
      <c r="B83">
        <v>34</v>
      </c>
      <c r="C83">
        <v>2</v>
      </c>
      <c r="D83">
        <v>4</v>
      </c>
      <c r="E83">
        <v>103.6</v>
      </c>
      <c r="F83">
        <v>64.59999999999999</v>
      </c>
      <c r="G83" t="s">
        <v>422</v>
      </c>
      <c r="H83">
        <v>0</v>
      </c>
      <c r="I83">
        <v>2</v>
      </c>
    </row>
    <row r="84" spans="1:9">
      <c r="A84" t="s">
        <v>423</v>
      </c>
      <c r="B84">
        <v>40</v>
      </c>
      <c r="C84">
        <v>2</v>
      </c>
      <c r="D84">
        <v>3</v>
      </c>
      <c r="E84">
        <v>129.9</v>
      </c>
      <c r="F84">
        <v>86.3</v>
      </c>
      <c r="G84" t="s">
        <v>422</v>
      </c>
      <c r="H84">
        <v>2</v>
      </c>
      <c r="I84">
        <v>5</v>
      </c>
    </row>
    <row r="85" spans="1:9">
      <c r="A85" t="s">
        <v>419</v>
      </c>
      <c r="B85">
        <v>38</v>
      </c>
      <c r="C85">
        <v>1</v>
      </c>
      <c r="D85">
        <v>3</v>
      </c>
      <c r="E85">
        <v>100.8</v>
      </c>
      <c r="F85">
        <v>174.1</v>
      </c>
      <c r="G85" t="s">
        <v>422</v>
      </c>
      <c r="H85">
        <v>1</v>
      </c>
      <c r="I85">
        <v>1</v>
      </c>
    </row>
    <row r="86" spans="1:9">
      <c r="A86" t="s">
        <v>419</v>
      </c>
      <c r="B86">
        <v>23</v>
      </c>
      <c r="C86">
        <v>3</v>
      </c>
      <c r="D86">
        <v>1</v>
      </c>
      <c r="E86">
        <v>85.3</v>
      </c>
      <c r="F86">
        <v>389.7</v>
      </c>
      <c r="G86" t="s">
        <v>422</v>
      </c>
      <c r="H86">
        <v>1</v>
      </c>
      <c r="I86">
        <v>1</v>
      </c>
    </row>
    <row r="87" spans="1:9">
      <c r="A87" t="s">
        <v>423</v>
      </c>
      <c r="B87">
        <v>30</v>
      </c>
      <c r="C87">
        <v>4</v>
      </c>
      <c r="D87">
        <v>4</v>
      </c>
      <c r="E87">
        <v>101.9</v>
      </c>
      <c r="F87">
        <v>213.1</v>
      </c>
      <c r="G87" t="s">
        <v>420</v>
      </c>
      <c r="H87">
        <v>1</v>
      </c>
      <c r="I87">
        <v>0</v>
      </c>
    </row>
    <row r="88" spans="1:9">
      <c r="A88" t="s">
        <v>419</v>
      </c>
      <c r="B88">
        <v>26</v>
      </c>
      <c r="C88">
        <v>2</v>
      </c>
      <c r="D88">
        <v>4</v>
      </c>
      <c r="E88">
        <v>94.09999999999999</v>
      </c>
      <c r="F88">
        <v>138.2</v>
      </c>
      <c r="G88" t="s">
        <v>422</v>
      </c>
      <c r="H88">
        <v>3</v>
      </c>
      <c r="I88">
        <v>7</v>
      </c>
    </row>
    <row r="89" spans="1:9">
      <c r="A89" t="s">
        <v>419</v>
      </c>
      <c r="B89">
        <v>21</v>
      </c>
      <c r="C89">
        <v>2</v>
      </c>
      <c r="D89">
        <v>1</v>
      </c>
      <c r="E89">
        <v>80.8</v>
      </c>
      <c r="F89">
        <v>22.3</v>
      </c>
      <c r="G89" t="s">
        <v>422</v>
      </c>
      <c r="H89">
        <v>0</v>
      </c>
      <c r="I89">
        <v>1</v>
      </c>
    </row>
    <row r="90" spans="1:9">
      <c r="A90" t="s">
        <v>421</v>
      </c>
      <c r="B90">
        <v>28</v>
      </c>
      <c r="C90">
        <v>3</v>
      </c>
      <c r="D90">
        <v>4</v>
      </c>
      <c r="E90">
        <v>116.4</v>
      </c>
      <c r="F90">
        <v>185.8</v>
      </c>
      <c r="G90" t="s">
        <v>420</v>
      </c>
      <c r="H90">
        <v>0</v>
      </c>
      <c r="I90">
        <v>0</v>
      </c>
    </row>
    <row r="91" spans="1:9">
      <c r="A91" t="s">
        <v>421</v>
      </c>
      <c r="B91">
        <v>26</v>
      </c>
      <c r="C91">
        <v>3</v>
      </c>
      <c r="D91">
        <v>3</v>
      </c>
      <c r="E91">
        <v>120.6</v>
      </c>
      <c r="F91">
        <v>131.2</v>
      </c>
      <c r="G91" t="s">
        <v>422</v>
      </c>
      <c r="H91">
        <v>3</v>
      </c>
      <c r="I91">
        <v>7</v>
      </c>
    </row>
    <row r="92" spans="1:9">
      <c r="A92" t="s">
        <v>419</v>
      </c>
      <c r="B92">
        <v>40</v>
      </c>
      <c r="C92">
        <v>4</v>
      </c>
      <c r="D92">
        <v>2</v>
      </c>
      <c r="E92">
        <v>81.59999999999999</v>
      </c>
      <c r="F92">
        <v>368.8</v>
      </c>
      <c r="G92" t="s">
        <v>420</v>
      </c>
      <c r="H92">
        <v>1</v>
      </c>
      <c r="I92">
        <v>0</v>
      </c>
    </row>
    <row r="93" spans="1:9">
      <c r="A93" t="s">
        <v>419</v>
      </c>
      <c r="B93">
        <v>24</v>
      </c>
      <c r="C93">
        <v>3</v>
      </c>
      <c r="D93">
        <v>1</v>
      </c>
      <c r="E93">
        <v>126</v>
      </c>
      <c r="F93">
        <v>166.5</v>
      </c>
      <c r="G93" t="s">
        <v>420</v>
      </c>
      <c r="H93">
        <v>3</v>
      </c>
      <c r="I93">
        <v>4</v>
      </c>
    </row>
    <row r="94" spans="1:9">
      <c r="A94" t="s">
        <v>423</v>
      </c>
      <c r="B94">
        <v>31</v>
      </c>
      <c r="C94">
        <v>1</v>
      </c>
      <c r="D94">
        <v>5</v>
      </c>
      <c r="E94">
        <v>109.5</v>
      </c>
      <c r="F94">
        <v>254.1</v>
      </c>
      <c r="G94" t="s">
        <v>422</v>
      </c>
      <c r="H94">
        <v>0</v>
      </c>
      <c r="I94">
        <v>1</v>
      </c>
    </row>
    <row r="95" spans="1:9">
      <c r="A95" t="s">
        <v>419</v>
      </c>
      <c r="B95">
        <v>21</v>
      </c>
      <c r="C95">
        <v>3</v>
      </c>
      <c r="D95">
        <v>3</v>
      </c>
      <c r="E95">
        <v>90.3</v>
      </c>
      <c r="F95">
        <v>136.5</v>
      </c>
      <c r="G95" t="s">
        <v>422</v>
      </c>
      <c r="H95">
        <v>1</v>
      </c>
      <c r="I95">
        <v>0</v>
      </c>
    </row>
    <row r="96" spans="1:9">
      <c r="A96" t="s">
        <v>423</v>
      </c>
      <c r="B96">
        <v>23</v>
      </c>
      <c r="C96">
        <v>1</v>
      </c>
      <c r="D96">
        <v>5</v>
      </c>
      <c r="E96">
        <v>133.6</v>
      </c>
      <c r="F96">
        <v>162</v>
      </c>
      <c r="G96" t="s">
        <v>420</v>
      </c>
      <c r="H96">
        <v>1</v>
      </c>
      <c r="I96">
        <v>1</v>
      </c>
    </row>
    <row r="97" spans="1:9">
      <c r="A97" t="s">
        <v>419</v>
      </c>
      <c r="B97">
        <v>29</v>
      </c>
      <c r="C97">
        <v>1</v>
      </c>
      <c r="D97">
        <v>4</v>
      </c>
      <c r="E97">
        <v>112.5</v>
      </c>
      <c r="F97">
        <v>215.6</v>
      </c>
      <c r="G97" t="s">
        <v>420</v>
      </c>
      <c r="H97">
        <v>3</v>
      </c>
      <c r="I97">
        <v>7</v>
      </c>
    </row>
    <row r="98" spans="1:9">
      <c r="A98" t="s">
        <v>421</v>
      </c>
      <c r="B98">
        <v>23</v>
      </c>
      <c r="C98">
        <v>0</v>
      </c>
      <c r="D98">
        <v>2</v>
      </c>
      <c r="E98">
        <v>98.59999999999999</v>
      </c>
      <c r="F98">
        <v>246.3</v>
      </c>
      <c r="G98" t="s">
        <v>422</v>
      </c>
      <c r="H98">
        <v>1</v>
      </c>
      <c r="I98">
        <v>0</v>
      </c>
    </row>
    <row r="99" spans="1:9">
      <c r="A99" t="s">
        <v>423</v>
      </c>
      <c r="B99">
        <v>21</v>
      </c>
      <c r="C99">
        <v>0</v>
      </c>
      <c r="D99">
        <v>3</v>
      </c>
      <c r="E99">
        <v>126.9</v>
      </c>
      <c r="F99">
        <v>248.9</v>
      </c>
      <c r="G99" t="s">
        <v>420</v>
      </c>
      <c r="H99">
        <v>0</v>
      </c>
      <c r="I99">
        <v>1</v>
      </c>
    </row>
    <row r="100" spans="1:9">
      <c r="A100" t="s">
        <v>421</v>
      </c>
      <c r="B100">
        <v>24</v>
      </c>
      <c r="C100">
        <v>2</v>
      </c>
      <c r="D100">
        <v>3</v>
      </c>
      <c r="E100">
        <v>109.4</v>
      </c>
      <c r="F100">
        <v>277.3</v>
      </c>
      <c r="G100" t="s">
        <v>420</v>
      </c>
      <c r="H100">
        <v>3</v>
      </c>
      <c r="I100">
        <v>7</v>
      </c>
    </row>
    <row r="101" spans="1:9">
      <c r="A101" t="s">
        <v>423</v>
      </c>
      <c r="B101">
        <v>23</v>
      </c>
      <c r="C101">
        <v>0</v>
      </c>
      <c r="D101">
        <v>2</v>
      </c>
      <c r="E101">
        <v>105.5</v>
      </c>
      <c r="F101">
        <v>129.4</v>
      </c>
      <c r="G101" t="s">
        <v>422</v>
      </c>
      <c r="H101">
        <v>2</v>
      </c>
      <c r="I101">
        <v>8</v>
      </c>
    </row>
    <row r="102" spans="1:9">
      <c r="A102" t="s">
        <v>421</v>
      </c>
      <c r="B102">
        <v>32</v>
      </c>
      <c r="C102">
        <v>2</v>
      </c>
      <c r="D102">
        <v>3</v>
      </c>
      <c r="E102">
        <v>83.59999999999999</v>
      </c>
      <c r="F102">
        <v>279.3</v>
      </c>
      <c r="G102" t="s">
        <v>422</v>
      </c>
      <c r="H102">
        <v>3</v>
      </c>
      <c r="I102">
        <v>2</v>
      </c>
    </row>
    <row r="103" spans="1:9">
      <c r="A103" t="s">
        <v>419</v>
      </c>
      <c r="B103">
        <v>20</v>
      </c>
      <c r="C103">
        <v>3</v>
      </c>
      <c r="D103">
        <v>3</v>
      </c>
      <c r="E103">
        <v>112.7</v>
      </c>
      <c r="F103">
        <v>385.3</v>
      </c>
      <c r="G103" t="s">
        <v>420</v>
      </c>
      <c r="H103">
        <v>2</v>
      </c>
      <c r="I103">
        <v>8</v>
      </c>
    </row>
    <row r="104" spans="1:9">
      <c r="A104" t="s">
        <v>423</v>
      </c>
      <c r="B104">
        <v>36</v>
      </c>
      <c r="C104">
        <v>1</v>
      </c>
      <c r="D104">
        <v>3</v>
      </c>
      <c r="E104">
        <v>109.3</v>
      </c>
      <c r="F104">
        <v>211.7</v>
      </c>
      <c r="G104" t="s">
        <v>420</v>
      </c>
      <c r="H104">
        <v>3</v>
      </c>
      <c r="I104">
        <v>6</v>
      </c>
    </row>
    <row r="105" spans="1:9">
      <c r="A105" t="s">
        <v>421</v>
      </c>
      <c r="B105">
        <v>37</v>
      </c>
      <c r="C105">
        <v>3</v>
      </c>
      <c r="D105">
        <v>3</v>
      </c>
      <c r="E105">
        <v>97.5</v>
      </c>
      <c r="F105">
        <v>380.9</v>
      </c>
      <c r="G105" t="s">
        <v>420</v>
      </c>
      <c r="H105">
        <v>2</v>
      </c>
      <c r="I105">
        <v>2</v>
      </c>
    </row>
    <row r="106" spans="1:9">
      <c r="A106" t="s">
        <v>421</v>
      </c>
      <c r="B106">
        <v>24</v>
      </c>
      <c r="C106">
        <v>4</v>
      </c>
      <c r="D106">
        <v>2</v>
      </c>
      <c r="E106">
        <v>98.90000000000001</v>
      </c>
      <c r="F106">
        <v>11.6</v>
      </c>
      <c r="G106" t="s">
        <v>420</v>
      </c>
      <c r="H106">
        <v>3</v>
      </c>
      <c r="I106">
        <v>8</v>
      </c>
    </row>
    <row r="107" spans="1:9">
      <c r="A107" t="s">
        <v>419</v>
      </c>
      <c r="B107">
        <v>23</v>
      </c>
      <c r="C107">
        <v>4</v>
      </c>
      <c r="D107">
        <v>3</v>
      </c>
      <c r="E107">
        <v>89.90000000000001</v>
      </c>
      <c r="F107">
        <v>21.9</v>
      </c>
      <c r="G107" t="s">
        <v>422</v>
      </c>
      <c r="H107">
        <v>2</v>
      </c>
      <c r="I107">
        <v>5</v>
      </c>
    </row>
    <row r="108" spans="1:9">
      <c r="A108" t="s">
        <v>419</v>
      </c>
      <c r="B108">
        <v>25</v>
      </c>
      <c r="C108">
        <v>0</v>
      </c>
      <c r="D108">
        <v>2</v>
      </c>
      <c r="E108">
        <v>130.7</v>
      </c>
      <c r="F108">
        <v>233.3</v>
      </c>
      <c r="G108" t="s">
        <v>422</v>
      </c>
      <c r="H108">
        <v>3</v>
      </c>
      <c r="I108">
        <v>5</v>
      </c>
    </row>
    <row r="109" spans="1:9">
      <c r="A109" t="s">
        <v>419</v>
      </c>
      <c r="B109">
        <v>44</v>
      </c>
      <c r="C109">
        <v>2</v>
      </c>
      <c r="D109">
        <v>2</v>
      </c>
      <c r="E109">
        <v>104</v>
      </c>
      <c r="F109">
        <v>63.5</v>
      </c>
      <c r="G109" t="s">
        <v>420</v>
      </c>
      <c r="H109">
        <v>2</v>
      </c>
      <c r="I109">
        <v>8</v>
      </c>
    </row>
    <row r="110" spans="1:9">
      <c r="A110" t="s">
        <v>419</v>
      </c>
      <c r="B110">
        <v>24</v>
      </c>
      <c r="C110">
        <v>3</v>
      </c>
      <c r="D110">
        <v>2</v>
      </c>
      <c r="E110">
        <v>117.7</v>
      </c>
      <c r="F110">
        <v>155.8</v>
      </c>
      <c r="G110" t="s">
        <v>420</v>
      </c>
      <c r="H110">
        <v>0</v>
      </c>
      <c r="I110">
        <v>0</v>
      </c>
    </row>
    <row r="111" spans="1:9">
      <c r="A111" t="s">
        <v>423</v>
      </c>
      <c r="B111">
        <v>19</v>
      </c>
      <c r="C111">
        <v>0</v>
      </c>
      <c r="D111">
        <v>6</v>
      </c>
      <c r="E111">
        <v>120.6</v>
      </c>
      <c r="F111">
        <v>246.1</v>
      </c>
      <c r="G111" t="s">
        <v>422</v>
      </c>
      <c r="H111">
        <v>0</v>
      </c>
      <c r="I111">
        <v>2</v>
      </c>
    </row>
    <row r="112" spans="1:9">
      <c r="A112" t="s">
        <v>423</v>
      </c>
      <c r="B112">
        <v>25</v>
      </c>
      <c r="C112">
        <v>1</v>
      </c>
      <c r="D112">
        <v>4</v>
      </c>
      <c r="E112">
        <v>119.7</v>
      </c>
      <c r="F112">
        <v>396</v>
      </c>
      <c r="G112" t="s">
        <v>422</v>
      </c>
      <c r="H112">
        <v>0</v>
      </c>
      <c r="I112">
        <v>2</v>
      </c>
    </row>
    <row r="113" spans="1:9">
      <c r="A113" t="s">
        <v>421</v>
      </c>
      <c r="B113">
        <v>28</v>
      </c>
      <c r="C113">
        <v>2</v>
      </c>
      <c r="D113">
        <v>6</v>
      </c>
      <c r="E113">
        <v>120</v>
      </c>
      <c r="F113">
        <v>264.4</v>
      </c>
      <c r="G113" t="s">
        <v>420</v>
      </c>
      <c r="H113">
        <v>2</v>
      </c>
      <c r="I113">
        <v>4</v>
      </c>
    </row>
    <row r="114" spans="1:9">
      <c r="A114" t="s">
        <v>423</v>
      </c>
      <c r="B114">
        <v>34</v>
      </c>
      <c r="C114">
        <v>4</v>
      </c>
      <c r="D114">
        <v>4</v>
      </c>
      <c r="E114">
        <v>103</v>
      </c>
      <c r="F114">
        <v>341.4</v>
      </c>
      <c r="G114" t="s">
        <v>420</v>
      </c>
      <c r="H114">
        <v>1</v>
      </c>
      <c r="I114">
        <v>0</v>
      </c>
    </row>
    <row r="115" spans="1:9">
      <c r="A115" t="s">
        <v>421</v>
      </c>
      <c r="B115">
        <v>19</v>
      </c>
      <c r="C115">
        <v>4</v>
      </c>
      <c r="D115">
        <v>3</v>
      </c>
      <c r="E115">
        <v>124.4</v>
      </c>
      <c r="F115">
        <v>173.8</v>
      </c>
      <c r="G115" t="s">
        <v>420</v>
      </c>
      <c r="H115">
        <v>0</v>
      </c>
      <c r="I115">
        <v>2</v>
      </c>
    </row>
    <row r="116" spans="1:9">
      <c r="A116" t="s">
        <v>419</v>
      </c>
      <c r="B116">
        <v>28</v>
      </c>
      <c r="C116">
        <v>0</v>
      </c>
      <c r="D116">
        <v>4</v>
      </c>
      <c r="E116">
        <v>140.5</v>
      </c>
      <c r="F116">
        <v>61.1</v>
      </c>
      <c r="G116" t="s">
        <v>422</v>
      </c>
      <c r="H116">
        <v>3</v>
      </c>
      <c r="I116">
        <v>3</v>
      </c>
    </row>
    <row r="117" spans="1:9">
      <c r="A117" t="s">
        <v>419</v>
      </c>
      <c r="B117">
        <v>58</v>
      </c>
      <c r="C117">
        <v>4</v>
      </c>
      <c r="D117">
        <v>5</v>
      </c>
      <c r="E117">
        <v>116.1</v>
      </c>
      <c r="F117">
        <v>139.7</v>
      </c>
      <c r="G117" t="s">
        <v>422</v>
      </c>
      <c r="H117">
        <v>30</v>
      </c>
      <c r="I117">
        <v>17</v>
      </c>
    </row>
    <row r="118" spans="1:9">
      <c r="A118" t="s">
        <v>419</v>
      </c>
      <c r="B118">
        <v>20</v>
      </c>
      <c r="C118">
        <v>0</v>
      </c>
      <c r="D118">
        <v>3</v>
      </c>
      <c r="E118">
        <v>103</v>
      </c>
      <c r="F118">
        <v>143.4</v>
      </c>
      <c r="G118" t="s">
        <v>420</v>
      </c>
      <c r="H118">
        <v>2</v>
      </c>
      <c r="I118">
        <v>4</v>
      </c>
    </row>
    <row r="119" spans="1:9">
      <c r="A119" t="s">
        <v>423</v>
      </c>
      <c r="B119">
        <v>24</v>
      </c>
      <c r="C119">
        <v>0</v>
      </c>
      <c r="D119">
        <v>4</v>
      </c>
      <c r="E119">
        <v>103.6</v>
      </c>
      <c r="F119">
        <v>179.5</v>
      </c>
      <c r="G119" t="s">
        <v>420</v>
      </c>
      <c r="H119">
        <v>3</v>
      </c>
      <c r="I119">
        <v>7</v>
      </c>
    </row>
    <row r="120" spans="1:9">
      <c r="A120" t="s">
        <v>423</v>
      </c>
      <c r="B120">
        <v>32</v>
      </c>
      <c r="C120">
        <v>1</v>
      </c>
      <c r="D120">
        <v>3</v>
      </c>
      <c r="E120">
        <v>112.4</v>
      </c>
      <c r="F120">
        <v>72.90000000000001</v>
      </c>
      <c r="G120" t="s">
        <v>422</v>
      </c>
      <c r="H120">
        <v>3</v>
      </c>
      <c r="I120">
        <v>5</v>
      </c>
    </row>
    <row r="121" spans="1:9">
      <c r="A121" t="s">
        <v>421</v>
      </c>
      <c r="B121">
        <v>30</v>
      </c>
      <c r="C121">
        <v>3</v>
      </c>
      <c r="D121">
        <v>4</v>
      </c>
      <c r="E121">
        <v>102.2</v>
      </c>
      <c r="F121">
        <v>288</v>
      </c>
      <c r="G121" t="s">
        <v>420</v>
      </c>
      <c r="H121">
        <v>1</v>
      </c>
      <c r="I121">
        <v>1</v>
      </c>
    </row>
    <row r="122" spans="1:9">
      <c r="A122" t="s">
        <v>421</v>
      </c>
      <c r="B122">
        <v>57</v>
      </c>
      <c r="C122">
        <v>2</v>
      </c>
      <c r="D122">
        <v>4</v>
      </c>
      <c r="E122">
        <v>109.8</v>
      </c>
      <c r="F122">
        <v>329.4</v>
      </c>
      <c r="G122" t="s">
        <v>422</v>
      </c>
      <c r="H122">
        <v>1</v>
      </c>
      <c r="I122">
        <v>1</v>
      </c>
    </row>
    <row r="123" spans="1:9">
      <c r="A123" t="s">
        <v>421</v>
      </c>
      <c r="B123">
        <v>28</v>
      </c>
      <c r="C123">
        <v>4</v>
      </c>
      <c r="D123">
        <v>6</v>
      </c>
      <c r="E123">
        <v>113.2</v>
      </c>
      <c r="F123">
        <v>274.1</v>
      </c>
      <c r="G123" t="s">
        <v>422</v>
      </c>
      <c r="H123">
        <v>1</v>
      </c>
      <c r="I123">
        <v>0</v>
      </c>
    </row>
    <row r="124" spans="1:9">
      <c r="A124" t="s">
        <v>421</v>
      </c>
      <c r="B124">
        <v>31</v>
      </c>
      <c r="C124">
        <v>3</v>
      </c>
      <c r="D124">
        <v>6</v>
      </c>
      <c r="E124">
        <v>94.7</v>
      </c>
      <c r="F124">
        <v>208</v>
      </c>
      <c r="G124" t="s">
        <v>420</v>
      </c>
      <c r="H124">
        <v>1</v>
      </c>
      <c r="I124">
        <v>1</v>
      </c>
    </row>
    <row r="125" spans="1:9">
      <c r="A125" t="s">
        <v>421</v>
      </c>
      <c r="B125">
        <v>22</v>
      </c>
      <c r="C125">
        <v>2</v>
      </c>
      <c r="D125">
        <v>4</v>
      </c>
      <c r="E125">
        <v>94</v>
      </c>
      <c r="F125">
        <v>175.4</v>
      </c>
      <c r="G125" t="s">
        <v>422</v>
      </c>
      <c r="H125">
        <v>2</v>
      </c>
      <c r="I125">
        <v>2</v>
      </c>
    </row>
    <row r="126" spans="1:9">
      <c r="A126" t="s">
        <v>421</v>
      </c>
      <c r="B126">
        <v>45</v>
      </c>
      <c r="C126">
        <v>2</v>
      </c>
      <c r="D126">
        <v>3</v>
      </c>
      <c r="E126">
        <v>134.3</v>
      </c>
      <c r="F126">
        <v>214.1</v>
      </c>
      <c r="G126" t="s">
        <v>422</v>
      </c>
      <c r="H126">
        <v>3</v>
      </c>
      <c r="I126">
        <v>3</v>
      </c>
    </row>
    <row r="127" spans="1:9">
      <c r="A127" t="s">
        <v>421</v>
      </c>
      <c r="B127">
        <v>28</v>
      </c>
      <c r="C127">
        <v>4</v>
      </c>
      <c r="D127">
        <v>4</v>
      </c>
      <c r="E127">
        <v>111.6</v>
      </c>
      <c r="F127">
        <v>34.4</v>
      </c>
      <c r="G127" t="s">
        <v>422</v>
      </c>
      <c r="H127">
        <v>0</v>
      </c>
      <c r="I127">
        <v>2</v>
      </c>
    </row>
    <row r="128" spans="1:9">
      <c r="A128" t="s">
        <v>421</v>
      </c>
      <c r="B128">
        <v>36</v>
      </c>
      <c r="C128">
        <v>3</v>
      </c>
      <c r="D128">
        <v>5</v>
      </c>
      <c r="E128">
        <v>95.09999999999999</v>
      </c>
      <c r="F128">
        <v>85.09999999999999</v>
      </c>
      <c r="G128" t="s">
        <v>420</v>
      </c>
      <c r="H128">
        <v>2</v>
      </c>
      <c r="I128">
        <v>5</v>
      </c>
    </row>
    <row r="129" spans="1:9">
      <c r="A129" t="s">
        <v>421</v>
      </c>
      <c r="B129">
        <v>21</v>
      </c>
      <c r="C129">
        <v>1</v>
      </c>
      <c r="D129">
        <v>3</v>
      </c>
      <c r="E129">
        <v>116.3</v>
      </c>
      <c r="F129">
        <v>28.6</v>
      </c>
      <c r="G129" t="s">
        <v>422</v>
      </c>
      <c r="H129">
        <v>1</v>
      </c>
      <c r="I129">
        <v>1</v>
      </c>
    </row>
    <row r="130" spans="1:9">
      <c r="A130" t="s">
        <v>421</v>
      </c>
      <c r="B130">
        <v>26</v>
      </c>
      <c r="C130">
        <v>1</v>
      </c>
      <c r="D130">
        <v>5</v>
      </c>
      <c r="E130">
        <v>127.5</v>
      </c>
      <c r="F130">
        <v>71.7</v>
      </c>
      <c r="G130" t="s">
        <v>422</v>
      </c>
      <c r="H130">
        <v>0</v>
      </c>
      <c r="I130">
        <v>2</v>
      </c>
    </row>
    <row r="131" spans="1:9">
      <c r="A131" t="s">
        <v>421</v>
      </c>
      <c r="B131">
        <v>36</v>
      </c>
      <c r="C131">
        <v>3</v>
      </c>
      <c r="D131">
        <v>3</v>
      </c>
      <c r="E131">
        <v>138.7</v>
      </c>
      <c r="F131">
        <v>15.7</v>
      </c>
      <c r="G131" t="s">
        <v>422</v>
      </c>
      <c r="H131">
        <v>3</v>
      </c>
      <c r="I131">
        <v>6</v>
      </c>
    </row>
    <row r="132" spans="1:9">
      <c r="A132" t="s">
        <v>421</v>
      </c>
      <c r="B132">
        <v>23</v>
      </c>
      <c r="C132">
        <v>4</v>
      </c>
      <c r="D132">
        <v>3</v>
      </c>
      <c r="E132">
        <v>96.09999999999999</v>
      </c>
      <c r="F132">
        <v>302.3</v>
      </c>
      <c r="G132" t="s">
        <v>420</v>
      </c>
      <c r="H132">
        <v>1</v>
      </c>
      <c r="I132">
        <v>1</v>
      </c>
    </row>
    <row r="133" spans="1:9">
      <c r="A133" t="s">
        <v>421</v>
      </c>
      <c r="B133">
        <v>40</v>
      </c>
      <c r="C133">
        <v>0</v>
      </c>
      <c r="D133">
        <v>3</v>
      </c>
      <c r="E133">
        <v>116.4</v>
      </c>
      <c r="F133">
        <v>140.7</v>
      </c>
      <c r="G133" t="s">
        <v>420</v>
      </c>
      <c r="H133">
        <v>1</v>
      </c>
      <c r="I133">
        <v>0</v>
      </c>
    </row>
    <row r="134" spans="1:9">
      <c r="A134" t="s">
        <v>421</v>
      </c>
      <c r="B134">
        <v>27</v>
      </c>
      <c r="C134">
        <v>2</v>
      </c>
      <c r="D134">
        <v>4</v>
      </c>
      <c r="E134">
        <v>101.6</v>
      </c>
      <c r="F134">
        <v>134</v>
      </c>
      <c r="G134" t="s">
        <v>422</v>
      </c>
      <c r="H134">
        <v>1</v>
      </c>
      <c r="I134">
        <v>1</v>
      </c>
    </row>
    <row r="135" spans="1:9">
      <c r="A135" t="s">
        <v>421</v>
      </c>
      <c r="B135">
        <v>32</v>
      </c>
      <c r="C135">
        <v>2</v>
      </c>
      <c r="D135">
        <v>3</v>
      </c>
      <c r="E135">
        <v>114.7</v>
      </c>
      <c r="F135">
        <v>231.1</v>
      </c>
      <c r="G135" t="s">
        <v>422</v>
      </c>
      <c r="H135">
        <v>1</v>
      </c>
      <c r="I135">
        <v>1</v>
      </c>
    </row>
    <row r="136" spans="1:9">
      <c r="A136" t="s">
        <v>421</v>
      </c>
      <c r="B136">
        <v>21</v>
      </c>
      <c r="C136">
        <v>3</v>
      </c>
      <c r="D136">
        <v>4</v>
      </c>
      <c r="E136">
        <v>100.5</v>
      </c>
      <c r="F136">
        <v>149</v>
      </c>
      <c r="G136" t="s">
        <v>420</v>
      </c>
      <c r="H136">
        <v>2</v>
      </c>
      <c r="I136">
        <v>7</v>
      </c>
    </row>
    <row r="137" spans="1:9">
      <c r="A137" t="s">
        <v>421</v>
      </c>
      <c r="B137">
        <v>21</v>
      </c>
      <c r="C137">
        <v>2</v>
      </c>
      <c r="D137">
        <v>3</v>
      </c>
      <c r="E137">
        <v>117.9</v>
      </c>
      <c r="F137">
        <v>277.8</v>
      </c>
      <c r="G137" t="s">
        <v>420</v>
      </c>
      <c r="H137">
        <v>2</v>
      </c>
      <c r="I137">
        <v>2</v>
      </c>
    </row>
    <row r="138" spans="1:9">
      <c r="A138" t="s">
        <v>421</v>
      </c>
      <c r="B138">
        <v>34</v>
      </c>
      <c r="C138">
        <v>2</v>
      </c>
      <c r="D138">
        <v>2</v>
      </c>
      <c r="E138">
        <v>130.2</v>
      </c>
      <c r="F138">
        <v>326.7</v>
      </c>
      <c r="G138" t="s">
        <v>420</v>
      </c>
      <c r="H138">
        <v>1</v>
      </c>
      <c r="I138">
        <v>1</v>
      </c>
    </row>
    <row r="139" spans="1:9">
      <c r="A139" t="s">
        <v>421</v>
      </c>
      <c r="B139">
        <v>35</v>
      </c>
      <c r="C139">
        <v>4</v>
      </c>
      <c r="D139">
        <v>6</v>
      </c>
      <c r="E139">
        <v>129.2</v>
      </c>
      <c r="F139">
        <v>44.5</v>
      </c>
      <c r="G139" t="s">
        <v>422</v>
      </c>
      <c r="H139">
        <v>1</v>
      </c>
      <c r="I139">
        <v>1</v>
      </c>
    </row>
    <row r="140" spans="1:9">
      <c r="A140" t="s">
        <v>423</v>
      </c>
      <c r="B140">
        <v>21</v>
      </c>
      <c r="C140">
        <v>4</v>
      </c>
      <c r="D140">
        <v>4</v>
      </c>
      <c r="E140">
        <v>95.90000000000001</v>
      </c>
      <c r="F140">
        <v>309.5</v>
      </c>
      <c r="G140" t="s">
        <v>422</v>
      </c>
      <c r="H140">
        <v>2</v>
      </c>
      <c r="I140">
        <v>2</v>
      </c>
    </row>
    <row r="141" spans="1:9">
      <c r="A141" t="s">
        <v>423</v>
      </c>
      <c r="B141">
        <v>30</v>
      </c>
      <c r="C141">
        <v>3</v>
      </c>
      <c r="D141">
        <v>3</v>
      </c>
      <c r="E141">
        <v>137</v>
      </c>
      <c r="F141">
        <v>171.8</v>
      </c>
      <c r="G141" t="s">
        <v>420</v>
      </c>
      <c r="H141">
        <v>2</v>
      </c>
      <c r="I141">
        <v>7</v>
      </c>
    </row>
    <row r="142" spans="1:9">
      <c r="A142" t="s">
        <v>423</v>
      </c>
      <c r="B142">
        <v>27</v>
      </c>
      <c r="C142">
        <v>0</v>
      </c>
      <c r="D142">
        <v>3</v>
      </c>
      <c r="E142">
        <v>129.8</v>
      </c>
      <c r="F142">
        <v>112</v>
      </c>
      <c r="G142" t="s">
        <v>422</v>
      </c>
      <c r="H142">
        <v>3</v>
      </c>
      <c r="I142">
        <v>5</v>
      </c>
    </row>
    <row r="143" spans="1:9">
      <c r="A143" t="s">
        <v>419</v>
      </c>
      <c r="B143">
        <v>41</v>
      </c>
      <c r="C143">
        <v>3</v>
      </c>
      <c r="D143">
        <v>4</v>
      </c>
      <c r="E143">
        <v>125.5</v>
      </c>
      <c r="F143">
        <v>84.5</v>
      </c>
      <c r="G143" t="s">
        <v>422</v>
      </c>
      <c r="H143">
        <v>1</v>
      </c>
      <c r="I143">
        <v>0</v>
      </c>
    </row>
    <row r="144" spans="1:9">
      <c r="A144" t="s">
        <v>421</v>
      </c>
      <c r="B144">
        <v>44</v>
      </c>
      <c r="C144">
        <v>0</v>
      </c>
      <c r="D144">
        <v>3</v>
      </c>
      <c r="E144">
        <v>103.7</v>
      </c>
      <c r="F144">
        <v>328.5</v>
      </c>
      <c r="G144" t="s">
        <v>422</v>
      </c>
      <c r="H144">
        <v>2</v>
      </c>
      <c r="I144">
        <v>3</v>
      </c>
    </row>
    <row r="145" spans="1:9">
      <c r="A145" t="s">
        <v>419</v>
      </c>
      <c r="B145">
        <v>20</v>
      </c>
      <c r="C145">
        <v>1</v>
      </c>
      <c r="D145">
        <v>5</v>
      </c>
      <c r="E145">
        <v>92.59999999999999</v>
      </c>
      <c r="F145">
        <v>39.7</v>
      </c>
      <c r="G145" t="s">
        <v>422</v>
      </c>
      <c r="H145">
        <v>0</v>
      </c>
      <c r="I145">
        <v>1</v>
      </c>
    </row>
    <row r="146" spans="1:9">
      <c r="A146" t="s">
        <v>423</v>
      </c>
      <c r="B146">
        <v>31</v>
      </c>
      <c r="C146">
        <v>0</v>
      </c>
      <c r="D146">
        <v>6</v>
      </c>
      <c r="E146">
        <v>89.2</v>
      </c>
      <c r="F146">
        <v>145.1</v>
      </c>
      <c r="G146" t="s">
        <v>420</v>
      </c>
      <c r="H146">
        <v>0</v>
      </c>
      <c r="I146">
        <v>1</v>
      </c>
    </row>
    <row r="147" spans="1:9">
      <c r="A147" t="s">
        <v>423</v>
      </c>
      <c r="B147">
        <v>27</v>
      </c>
      <c r="C147">
        <v>4</v>
      </c>
      <c r="D147">
        <v>4</v>
      </c>
      <c r="E147">
        <v>119.8</v>
      </c>
      <c r="F147">
        <v>118</v>
      </c>
      <c r="G147" t="s">
        <v>420</v>
      </c>
      <c r="H147">
        <v>1</v>
      </c>
      <c r="I147">
        <v>0</v>
      </c>
    </row>
    <row r="148" spans="1:9">
      <c r="A148" t="s">
        <v>419</v>
      </c>
      <c r="B148">
        <v>47</v>
      </c>
      <c r="C148">
        <v>4</v>
      </c>
      <c r="D148">
        <v>4</v>
      </c>
      <c r="E148">
        <v>99.8</v>
      </c>
      <c r="F148">
        <v>164.5</v>
      </c>
      <c r="G148" t="s">
        <v>420</v>
      </c>
      <c r="H148">
        <v>1</v>
      </c>
      <c r="I148">
        <v>1</v>
      </c>
    </row>
    <row r="149" spans="1:9">
      <c r="A149" t="s">
        <v>419</v>
      </c>
      <c r="B149">
        <v>25</v>
      </c>
      <c r="C149">
        <v>0</v>
      </c>
      <c r="D149">
        <v>6</v>
      </c>
      <c r="E149">
        <v>125.7</v>
      </c>
      <c r="F149">
        <v>86.3</v>
      </c>
      <c r="G149" t="s">
        <v>420</v>
      </c>
      <c r="H149">
        <v>3</v>
      </c>
      <c r="I149">
        <v>3</v>
      </c>
    </row>
    <row r="150" spans="1:9">
      <c r="A150" t="s">
        <v>419</v>
      </c>
      <c r="B150">
        <v>20</v>
      </c>
      <c r="C150">
        <v>4</v>
      </c>
      <c r="D150">
        <v>5</v>
      </c>
      <c r="E150">
        <v>111.8</v>
      </c>
      <c r="F150">
        <v>24.3</v>
      </c>
      <c r="G150" t="s">
        <v>420</v>
      </c>
      <c r="H150">
        <v>3</v>
      </c>
      <c r="I150">
        <v>4</v>
      </c>
    </row>
    <row r="151" spans="1:9">
      <c r="A151" t="s">
        <v>423</v>
      </c>
      <c r="B151">
        <v>22</v>
      </c>
      <c r="C151">
        <v>4</v>
      </c>
      <c r="D151">
        <v>6</v>
      </c>
      <c r="E151">
        <v>134.5</v>
      </c>
      <c r="F151">
        <v>5.2</v>
      </c>
      <c r="G151" t="s">
        <v>420</v>
      </c>
      <c r="H151">
        <v>0</v>
      </c>
      <c r="I151">
        <v>2</v>
      </c>
    </row>
    <row r="152" spans="1:9">
      <c r="A152" t="s">
        <v>419</v>
      </c>
      <c r="B152">
        <v>30</v>
      </c>
      <c r="C152">
        <v>4</v>
      </c>
      <c r="D152">
        <v>2</v>
      </c>
      <c r="E152">
        <v>139.6</v>
      </c>
      <c r="F152">
        <v>13.5</v>
      </c>
      <c r="G152" t="s">
        <v>422</v>
      </c>
      <c r="H152">
        <v>3</v>
      </c>
      <c r="I152">
        <v>6</v>
      </c>
    </row>
    <row r="153" spans="1:9">
      <c r="A153" t="s">
        <v>419</v>
      </c>
      <c r="B153">
        <v>31</v>
      </c>
      <c r="C153">
        <v>2</v>
      </c>
      <c r="D153">
        <v>4</v>
      </c>
      <c r="E153">
        <v>107</v>
      </c>
      <c r="F153">
        <v>261.8</v>
      </c>
      <c r="G153" t="s">
        <v>422</v>
      </c>
      <c r="H153">
        <v>3</v>
      </c>
      <c r="I153">
        <v>3</v>
      </c>
    </row>
    <row r="154" spans="1:9">
      <c r="A154" t="s">
        <v>423</v>
      </c>
      <c r="B154">
        <v>34</v>
      </c>
      <c r="C154">
        <v>4</v>
      </c>
      <c r="D154">
        <v>4</v>
      </c>
      <c r="E154">
        <v>97.7</v>
      </c>
      <c r="F154">
        <v>318.5</v>
      </c>
      <c r="G154" t="s">
        <v>422</v>
      </c>
      <c r="H154">
        <v>0</v>
      </c>
      <c r="I154">
        <v>0</v>
      </c>
    </row>
    <row r="155" spans="1:9">
      <c r="A155" t="s">
        <v>419</v>
      </c>
      <c r="B155">
        <v>23</v>
      </c>
      <c r="C155">
        <v>4</v>
      </c>
      <c r="D155">
        <v>4</v>
      </c>
      <c r="E155">
        <v>100</v>
      </c>
      <c r="F155">
        <v>81.7</v>
      </c>
      <c r="G155" t="s">
        <v>420</v>
      </c>
      <c r="H155">
        <v>3</v>
      </c>
      <c r="I155">
        <v>8</v>
      </c>
    </row>
    <row r="156" spans="1:9">
      <c r="A156" t="s">
        <v>421</v>
      </c>
      <c r="B156">
        <v>33</v>
      </c>
      <c r="C156">
        <v>4</v>
      </c>
      <c r="D156">
        <v>3</v>
      </c>
      <c r="E156">
        <v>111</v>
      </c>
      <c r="F156">
        <v>177.7</v>
      </c>
      <c r="G156" t="s">
        <v>420</v>
      </c>
      <c r="H156">
        <v>0</v>
      </c>
      <c r="I156">
        <v>2</v>
      </c>
    </row>
    <row r="157" spans="1:9">
      <c r="A157" t="s">
        <v>421</v>
      </c>
      <c r="B157">
        <v>30</v>
      </c>
      <c r="C157">
        <v>2</v>
      </c>
      <c r="D157">
        <v>2</v>
      </c>
      <c r="E157">
        <v>117.2</v>
      </c>
      <c r="F157">
        <v>186.5</v>
      </c>
      <c r="G157" t="s">
        <v>420</v>
      </c>
      <c r="H157">
        <v>3</v>
      </c>
      <c r="I157">
        <v>8</v>
      </c>
    </row>
    <row r="158" spans="1:9">
      <c r="A158" t="s">
        <v>423</v>
      </c>
      <c r="B158">
        <v>26</v>
      </c>
      <c r="C158">
        <v>2</v>
      </c>
      <c r="D158">
        <v>4</v>
      </c>
      <c r="E158">
        <v>96</v>
      </c>
      <c r="F158">
        <v>231.1</v>
      </c>
      <c r="G158" t="s">
        <v>420</v>
      </c>
      <c r="H158">
        <v>1</v>
      </c>
      <c r="I158">
        <v>0</v>
      </c>
    </row>
    <row r="159" spans="1:9">
      <c r="A159" t="s">
        <v>419</v>
      </c>
      <c r="B159">
        <v>19</v>
      </c>
      <c r="C159">
        <v>3</v>
      </c>
      <c r="D159">
        <v>4</v>
      </c>
      <c r="E159">
        <v>136.8</v>
      </c>
      <c r="F159">
        <v>34.5</v>
      </c>
      <c r="G159" t="s">
        <v>420</v>
      </c>
      <c r="H159">
        <v>0</v>
      </c>
      <c r="I159">
        <v>1</v>
      </c>
    </row>
    <row r="160" spans="1:9">
      <c r="A160" t="s">
        <v>423</v>
      </c>
      <c r="B160">
        <v>22</v>
      </c>
      <c r="C160">
        <v>0</v>
      </c>
      <c r="D160">
        <v>5</v>
      </c>
      <c r="E160">
        <v>134.3</v>
      </c>
      <c r="F160">
        <v>275.4</v>
      </c>
      <c r="G160" t="s">
        <v>420</v>
      </c>
      <c r="H160">
        <v>3</v>
      </c>
      <c r="I160">
        <v>5</v>
      </c>
    </row>
    <row r="161" spans="1:9">
      <c r="A161" t="s">
        <v>421</v>
      </c>
      <c r="B161">
        <v>26</v>
      </c>
      <c r="C161">
        <v>2</v>
      </c>
      <c r="D161">
        <v>1</v>
      </c>
      <c r="E161">
        <v>98.7</v>
      </c>
      <c r="F161">
        <v>184.7</v>
      </c>
      <c r="G161" t="s">
        <v>420</v>
      </c>
      <c r="H161">
        <v>1</v>
      </c>
      <c r="I161">
        <v>0</v>
      </c>
    </row>
    <row r="162" spans="1:9">
      <c r="A162" t="s">
        <v>419</v>
      </c>
      <c r="B162">
        <v>34</v>
      </c>
      <c r="C162">
        <v>2</v>
      </c>
      <c r="D162">
        <v>4</v>
      </c>
      <c r="E162">
        <v>113.7</v>
      </c>
      <c r="F162">
        <v>65.2</v>
      </c>
      <c r="G162" t="s">
        <v>422</v>
      </c>
      <c r="H162">
        <v>0</v>
      </c>
      <c r="I162">
        <v>0</v>
      </c>
    </row>
    <row r="163" spans="1:9">
      <c r="A163" t="s">
        <v>423</v>
      </c>
      <c r="B163">
        <v>34</v>
      </c>
      <c r="C163">
        <v>4</v>
      </c>
      <c r="D163">
        <v>3</v>
      </c>
      <c r="E163">
        <v>117.1</v>
      </c>
      <c r="F163">
        <v>238</v>
      </c>
      <c r="G163" t="s">
        <v>420</v>
      </c>
      <c r="H163">
        <v>3</v>
      </c>
      <c r="I163">
        <v>6</v>
      </c>
    </row>
    <row r="164" spans="1:9">
      <c r="A164" t="s">
        <v>419</v>
      </c>
      <c r="B164">
        <v>39</v>
      </c>
      <c r="C164">
        <v>0</v>
      </c>
      <c r="D164">
        <v>4</v>
      </c>
      <c r="E164">
        <v>84</v>
      </c>
      <c r="F164">
        <v>359.3</v>
      </c>
      <c r="G164" t="s">
        <v>420</v>
      </c>
      <c r="H164">
        <v>3</v>
      </c>
      <c r="I164">
        <v>2</v>
      </c>
    </row>
    <row r="165" spans="1:9">
      <c r="A165" t="s">
        <v>419</v>
      </c>
      <c r="B165">
        <v>35</v>
      </c>
      <c r="C165">
        <v>0</v>
      </c>
      <c r="D165">
        <v>5</v>
      </c>
      <c r="E165">
        <v>133.8</v>
      </c>
      <c r="F165">
        <v>319.3</v>
      </c>
      <c r="G165" t="s">
        <v>420</v>
      </c>
      <c r="H165">
        <v>0</v>
      </c>
      <c r="I165">
        <v>1</v>
      </c>
    </row>
    <row r="166" spans="1:9">
      <c r="A166" t="s">
        <v>423</v>
      </c>
      <c r="B166">
        <v>22</v>
      </c>
      <c r="C166">
        <v>2</v>
      </c>
      <c r="D166">
        <v>5</v>
      </c>
      <c r="E166">
        <v>130.9</v>
      </c>
      <c r="F166">
        <v>216</v>
      </c>
      <c r="G166" t="s">
        <v>422</v>
      </c>
      <c r="H166">
        <v>3</v>
      </c>
      <c r="I166">
        <v>6</v>
      </c>
    </row>
    <row r="167" spans="1:9">
      <c r="A167" t="s">
        <v>419</v>
      </c>
      <c r="B167">
        <v>26</v>
      </c>
      <c r="C167">
        <v>3</v>
      </c>
      <c r="D167">
        <v>3</v>
      </c>
      <c r="E167">
        <v>124.5</v>
      </c>
      <c r="F167">
        <v>217.5</v>
      </c>
      <c r="G167" t="s">
        <v>422</v>
      </c>
      <c r="H167">
        <v>0</v>
      </c>
      <c r="I167">
        <v>2</v>
      </c>
    </row>
    <row r="168" spans="1:9">
      <c r="A168" t="s">
        <v>423</v>
      </c>
      <c r="B168">
        <v>62</v>
      </c>
      <c r="C168">
        <v>4</v>
      </c>
      <c r="D168">
        <v>4</v>
      </c>
      <c r="E168">
        <v>104.8</v>
      </c>
      <c r="F168">
        <v>319.6</v>
      </c>
      <c r="G168" t="s">
        <v>422</v>
      </c>
      <c r="H168">
        <v>20</v>
      </c>
      <c r="I168">
        <v>11</v>
      </c>
    </row>
    <row r="169" spans="1:9">
      <c r="A169" t="s">
        <v>423</v>
      </c>
      <c r="B169">
        <v>27</v>
      </c>
      <c r="C169">
        <v>3</v>
      </c>
      <c r="D169">
        <v>1</v>
      </c>
      <c r="E169">
        <v>86.5</v>
      </c>
      <c r="F169">
        <v>176.7</v>
      </c>
      <c r="G169" t="s">
        <v>422</v>
      </c>
      <c r="H169">
        <v>0</v>
      </c>
      <c r="I169">
        <v>0</v>
      </c>
    </row>
    <row r="170" spans="1:9">
      <c r="A170" t="s">
        <v>423</v>
      </c>
      <c r="B170">
        <v>40</v>
      </c>
      <c r="C170">
        <v>3</v>
      </c>
      <c r="D170">
        <v>4</v>
      </c>
      <c r="E170">
        <v>110.1</v>
      </c>
      <c r="F170">
        <v>322.8</v>
      </c>
      <c r="G170" t="s">
        <v>420</v>
      </c>
      <c r="H170">
        <v>2</v>
      </c>
      <c r="I170">
        <v>6</v>
      </c>
    </row>
    <row r="171" spans="1:9">
      <c r="A171" t="s">
        <v>421</v>
      </c>
      <c r="B171">
        <v>45</v>
      </c>
      <c r="C171">
        <v>3</v>
      </c>
      <c r="D171">
        <v>5</v>
      </c>
      <c r="E171">
        <v>137</v>
      </c>
      <c r="F171">
        <v>326.5</v>
      </c>
      <c r="G171" t="s">
        <v>420</v>
      </c>
      <c r="H171">
        <v>3</v>
      </c>
      <c r="I171">
        <v>8</v>
      </c>
    </row>
    <row r="172" spans="1:9">
      <c r="A172" t="s">
        <v>421</v>
      </c>
      <c r="B172">
        <v>50</v>
      </c>
      <c r="C172">
        <v>2</v>
      </c>
      <c r="D172">
        <v>5</v>
      </c>
      <c r="E172">
        <v>90.09999999999999</v>
      </c>
      <c r="F172">
        <v>10.7</v>
      </c>
      <c r="G172" t="s">
        <v>422</v>
      </c>
      <c r="H172">
        <v>0</v>
      </c>
      <c r="I172">
        <v>2</v>
      </c>
    </row>
    <row r="173" spans="1:9">
      <c r="A173" t="s">
        <v>419</v>
      </c>
      <c r="B173">
        <v>52</v>
      </c>
      <c r="C173">
        <v>1</v>
      </c>
      <c r="D173">
        <v>2</v>
      </c>
      <c r="E173">
        <v>132</v>
      </c>
      <c r="F173">
        <v>268.1</v>
      </c>
      <c r="G173" t="s">
        <v>420</v>
      </c>
      <c r="H173">
        <v>3</v>
      </c>
      <c r="I173">
        <v>7</v>
      </c>
    </row>
    <row r="174" spans="1:9">
      <c r="A174" t="s">
        <v>419</v>
      </c>
      <c r="B174">
        <v>28</v>
      </c>
      <c r="C174">
        <v>2</v>
      </c>
      <c r="D174">
        <v>1</v>
      </c>
      <c r="E174">
        <v>83.40000000000001</v>
      </c>
      <c r="F174">
        <v>1.5</v>
      </c>
      <c r="G174" t="s">
        <v>420</v>
      </c>
      <c r="H174">
        <v>3</v>
      </c>
      <c r="I174">
        <v>3</v>
      </c>
    </row>
    <row r="175" spans="1:9">
      <c r="A175" t="s">
        <v>423</v>
      </c>
      <c r="B175">
        <v>24</v>
      </c>
      <c r="C175">
        <v>0</v>
      </c>
      <c r="D175">
        <v>4</v>
      </c>
      <c r="E175">
        <v>71.8</v>
      </c>
      <c r="F175">
        <v>108.2</v>
      </c>
      <c r="G175" t="s">
        <v>420</v>
      </c>
      <c r="H175">
        <v>2</v>
      </c>
      <c r="I175">
        <v>3</v>
      </c>
    </row>
    <row r="176" spans="1:9">
      <c r="A176" t="s">
        <v>423</v>
      </c>
      <c r="B176">
        <v>25</v>
      </c>
      <c r="C176">
        <v>1</v>
      </c>
      <c r="D176">
        <v>5</v>
      </c>
      <c r="E176">
        <v>116.3</v>
      </c>
      <c r="F176">
        <v>208.3</v>
      </c>
      <c r="G176" t="s">
        <v>422</v>
      </c>
      <c r="H176">
        <v>0</v>
      </c>
      <c r="I176">
        <v>0</v>
      </c>
    </row>
    <row r="177" spans="1:9">
      <c r="A177" t="s">
        <v>421</v>
      </c>
      <c r="B177">
        <v>26</v>
      </c>
      <c r="C177">
        <v>1</v>
      </c>
      <c r="D177">
        <v>4</v>
      </c>
      <c r="E177">
        <v>73.2</v>
      </c>
      <c r="F177">
        <v>18.4</v>
      </c>
      <c r="G177" t="s">
        <v>422</v>
      </c>
      <c r="H177">
        <v>2</v>
      </c>
      <c r="I177">
        <v>6</v>
      </c>
    </row>
    <row r="178" spans="1:9">
      <c r="A178" t="s">
        <v>421</v>
      </c>
      <c r="B178">
        <v>39</v>
      </c>
      <c r="C178">
        <v>0</v>
      </c>
      <c r="D178">
        <v>3</v>
      </c>
      <c r="E178">
        <v>46.3</v>
      </c>
      <c r="F178">
        <v>32.1</v>
      </c>
      <c r="G178" t="s">
        <v>422</v>
      </c>
      <c r="H178">
        <v>2</v>
      </c>
      <c r="I178">
        <v>4</v>
      </c>
    </row>
    <row r="179" spans="1:9">
      <c r="A179" t="s">
        <v>423</v>
      </c>
      <c r="B179">
        <v>26</v>
      </c>
      <c r="C179">
        <v>1</v>
      </c>
      <c r="D179">
        <v>4</v>
      </c>
      <c r="E179">
        <v>60.7</v>
      </c>
      <c r="F179">
        <v>137.1</v>
      </c>
      <c r="G179" t="s">
        <v>420</v>
      </c>
      <c r="H179">
        <v>0</v>
      </c>
      <c r="I179">
        <v>2</v>
      </c>
    </row>
    <row r="180" spans="1:9">
      <c r="A180" t="s">
        <v>423</v>
      </c>
      <c r="B180">
        <v>25</v>
      </c>
      <c r="C180">
        <v>2</v>
      </c>
      <c r="D180">
        <v>4</v>
      </c>
      <c r="E180">
        <v>118.3</v>
      </c>
      <c r="F180">
        <v>136.5</v>
      </c>
      <c r="G180" t="s">
        <v>422</v>
      </c>
      <c r="H180">
        <v>1</v>
      </c>
      <c r="I180">
        <v>1</v>
      </c>
    </row>
    <row r="181" spans="1:9">
      <c r="A181" t="s">
        <v>421</v>
      </c>
      <c r="B181">
        <v>27</v>
      </c>
      <c r="C181">
        <v>0</v>
      </c>
      <c r="D181">
        <v>4</v>
      </c>
      <c r="E181">
        <v>38.3</v>
      </c>
      <c r="F181">
        <v>107</v>
      </c>
      <c r="G181" t="s">
        <v>422</v>
      </c>
      <c r="H181">
        <v>3</v>
      </c>
      <c r="I181">
        <v>4</v>
      </c>
    </row>
    <row r="182" spans="1:9">
      <c r="A182" t="s">
        <v>423</v>
      </c>
      <c r="B182">
        <v>21</v>
      </c>
      <c r="C182">
        <v>2</v>
      </c>
      <c r="D182">
        <v>6</v>
      </c>
      <c r="E182">
        <v>86.7</v>
      </c>
      <c r="F182">
        <v>96.7</v>
      </c>
      <c r="G182" t="s">
        <v>422</v>
      </c>
      <c r="H182">
        <v>2</v>
      </c>
      <c r="I182">
        <v>3</v>
      </c>
    </row>
    <row r="183" spans="1:9">
      <c r="A183" t="s">
        <v>419</v>
      </c>
      <c r="B183">
        <v>26</v>
      </c>
      <c r="C183">
        <v>2</v>
      </c>
      <c r="D183">
        <v>3</v>
      </c>
      <c r="E183">
        <v>83</v>
      </c>
      <c r="F183">
        <v>220.9</v>
      </c>
      <c r="G183" t="s">
        <v>422</v>
      </c>
      <c r="H183">
        <v>3</v>
      </c>
      <c r="I183">
        <v>7</v>
      </c>
    </row>
    <row r="184" spans="1:9">
      <c r="A184" t="s">
        <v>423</v>
      </c>
      <c r="B184">
        <v>31</v>
      </c>
      <c r="C184">
        <v>1</v>
      </c>
      <c r="D184">
        <v>2</v>
      </c>
      <c r="E184">
        <v>95.8</v>
      </c>
      <c r="F184">
        <v>326.2</v>
      </c>
      <c r="G184" t="s">
        <v>422</v>
      </c>
      <c r="H184">
        <v>0</v>
      </c>
      <c r="I184">
        <v>2</v>
      </c>
    </row>
    <row r="185" spans="1:9">
      <c r="A185" t="s">
        <v>421</v>
      </c>
      <c r="B185">
        <v>24</v>
      </c>
      <c r="C185">
        <v>0</v>
      </c>
      <c r="D185">
        <v>6</v>
      </c>
      <c r="E185">
        <v>92.8</v>
      </c>
      <c r="F185">
        <v>342.5</v>
      </c>
      <c r="G185" t="s">
        <v>420</v>
      </c>
      <c r="H185">
        <v>0</v>
      </c>
      <c r="I185">
        <v>1</v>
      </c>
    </row>
    <row r="186" spans="1:9">
      <c r="A186" t="s">
        <v>423</v>
      </c>
      <c r="B186">
        <v>29</v>
      </c>
      <c r="C186">
        <v>2</v>
      </c>
      <c r="D186">
        <v>4</v>
      </c>
      <c r="E186">
        <v>98.40000000000001</v>
      </c>
      <c r="F186">
        <v>139.3</v>
      </c>
      <c r="G186" t="s">
        <v>422</v>
      </c>
      <c r="H186">
        <v>1</v>
      </c>
      <c r="I186">
        <v>0</v>
      </c>
    </row>
    <row r="187" spans="1:9">
      <c r="A187" t="s">
        <v>421</v>
      </c>
      <c r="B187">
        <v>36</v>
      </c>
      <c r="C187">
        <v>2</v>
      </c>
      <c r="D187">
        <v>4</v>
      </c>
      <c r="E187">
        <v>44.1</v>
      </c>
      <c r="F187">
        <v>339.4</v>
      </c>
      <c r="G187" t="s">
        <v>422</v>
      </c>
      <c r="H187">
        <v>3</v>
      </c>
      <c r="I187">
        <v>5</v>
      </c>
    </row>
    <row r="188" spans="1:9">
      <c r="A188" t="s">
        <v>421</v>
      </c>
      <c r="B188">
        <v>23</v>
      </c>
      <c r="C188">
        <v>1</v>
      </c>
      <c r="D188">
        <v>5</v>
      </c>
      <c r="E188">
        <v>49.4</v>
      </c>
      <c r="F188">
        <v>182.4</v>
      </c>
      <c r="G188" t="s">
        <v>422</v>
      </c>
      <c r="H188">
        <v>3</v>
      </c>
      <c r="I188">
        <v>2</v>
      </c>
    </row>
    <row r="189" spans="1:9">
      <c r="A189" t="s">
        <v>421</v>
      </c>
      <c r="B189">
        <v>22</v>
      </c>
      <c r="C189">
        <v>2</v>
      </c>
      <c r="D189">
        <v>3</v>
      </c>
      <c r="E189">
        <v>93.8</v>
      </c>
      <c r="F189">
        <v>1.4</v>
      </c>
      <c r="G189" t="s">
        <v>422</v>
      </c>
      <c r="H189">
        <v>0</v>
      </c>
      <c r="I189">
        <v>0</v>
      </c>
    </row>
    <row r="190" spans="1:9">
      <c r="A190" t="s">
        <v>421</v>
      </c>
      <c r="B190">
        <v>32</v>
      </c>
      <c r="C190">
        <v>4</v>
      </c>
      <c r="D190">
        <v>2</v>
      </c>
      <c r="E190">
        <v>45.9</v>
      </c>
      <c r="F190">
        <v>304.3</v>
      </c>
      <c r="G190" t="s">
        <v>422</v>
      </c>
      <c r="H190">
        <v>0</v>
      </c>
      <c r="I190">
        <v>1</v>
      </c>
    </row>
    <row r="191" spans="1:9">
      <c r="A191" t="s">
        <v>421</v>
      </c>
      <c r="B191">
        <v>36</v>
      </c>
      <c r="C191">
        <v>0</v>
      </c>
      <c r="D191">
        <v>1</v>
      </c>
      <c r="E191">
        <v>110.7</v>
      </c>
      <c r="F191">
        <v>306.5</v>
      </c>
      <c r="G191" t="s">
        <v>422</v>
      </c>
      <c r="H191">
        <v>1</v>
      </c>
      <c r="I191">
        <v>0</v>
      </c>
    </row>
    <row r="192" spans="1:9">
      <c r="A192" t="s">
        <v>421</v>
      </c>
      <c r="B192">
        <v>24</v>
      </c>
      <c r="C192">
        <v>0</v>
      </c>
      <c r="D192">
        <v>2</v>
      </c>
      <c r="E192">
        <v>56.6</v>
      </c>
      <c r="F192">
        <v>74</v>
      </c>
      <c r="G192" t="s">
        <v>420</v>
      </c>
      <c r="H192">
        <v>2</v>
      </c>
      <c r="I192">
        <v>3</v>
      </c>
    </row>
    <row r="193" spans="1:9">
      <c r="A193" t="s">
        <v>421</v>
      </c>
      <c r="B193">
        <v>28</v>
      </c>
      <c r="C193">
        <v>3</v>
      </c>
      <c r="D193">
        <v>4</v>
      </c>
      <c r="E193">
        <v>65.8</v>
      </c>
      <c r="F193">
        <v>68.5</v>
      </c>
      <c r="G193" t="s">
        <v>422</v>
      </c>
      <c r="H193">
        <v>2</v>
      </c>
      <c r="I193">
        <v>4</v>
      </c>
    </row>
    <row r="194" spans="1:9">
      <c r="A194" t="s">
        <v>421</v>
      </c>
      <c r="B194">
        <v>29</v>
      </c>
      <c r="C194">
        <v>0</v>
      </c>
      <c r="D194">
        <v>4</v>
      </c>
      <c r="E194">
        <v>111.9</v>
      </c>
      <c r="F194">
        <v>135.2</v>
      </c>
      <c r="G194" t="s">
        <v>420</v>
      </c>
      <c r="H194">
        <v>2</v>
      </c>
      <c r="I194">
        <v>3</v>
      </c>
    </row>
    <row r="195" spans="1:9">
      <c r="A195" t="s">
        <v>421</v>
      </c>
      <c r="B195">
        <v>26</v>
      </c>
      <c r="C195">
        <v>0</v>
      </c>
      <c r="D195">
        <v>4</v>
      </c>
      <c r="E195">
        <v>106.5</v>
      </c>
      <c r="F195">
        <v>25.2</v>
      </c>
      <c r="G195" t="s">
        <v>422</v>
      </c>
      <c r="H195">
        <v>2</v>
      </c>
      <c r="I195">
        <v>3</v>
      </c>
    </row>
    <row r="196" spans="1:9">
      <c r="A196" t="s">
        <v>421</v>
      </c>
      <c r="B196">
        <v>37</v>
      </c>
      <c r="C196">
        <v>0</v>
      </c>
      <c r="D196">
        <v>2</v>
      </c>
      <c r="E196">
        <v>32.1</v>
      </c>
      <c r="F196">
        <v>323.2</v>
      </c>
      <c r="G196" t="s">
        <v>420</v>
      </c>
      <c r="H196">
        <v>2</v>
      </c>
      <c r="I196">
        <v>8</v>
      </c>
    </row>
    <row r="197" spans="1:9">
      <c r="A197" t="s">
        <v>421</v>
      </c>
      <c r="B197">
        <v>39</v>
      </c>
      <c r="C197">
        <v>4</v>
      </c>
      <c r="D197">
        <v>3</v>
      </c>
      <c r="E197">
        <v>102.1</v>
      </c>
      <c r="F197">
        <v>115.8</v>
      </c>
      <c r="G197" t="s">
        <v>422</v>
      </c>
      <c r="H197">
        <v>0</v>
      </c>
      <c r="I197">
        <v>1</v>
      </c>
    </row>
    <row r="198" spans="1:9">
      <c r="A198" t="s">
        <v>421</v>
      </c>
      <c r="B198">
        <v>33</v>
      </c>
      <c r="C198">
        <v>3</v>
      </c>
      <c r="D198">
        <v>3</v>
      </c>
      <c r="E198">
        <v>40.4</v>
      </c>
      <c r="F198">
        <v>355.5</v>
      </c>
      <c r="G198" t="s">
        <v>420</v>
      </c>
      <c r="H198">
        <v>0</v>
      </c>
      <c r="I198">
        <v>1</v>
      </c>
    </row>
    <row r="199" spans="1:9">
      <c r="A199" t="s">
        <v>421</v>
      </c>
      <c r="B199">
        <v>30</v>
      </c>
      <c r="C199">
        <v>4</v>
      </c>
      <c r="D199">
        <v>3</v>
      </c>
      <c r="E199">
        <v>122.2</v>
      </c>
      <c r="F199">
        <v>26.7</v>
      </c>
      <c r="G199" t="s">
        <v>420</v>
      </c>
      <c r="H199">
        <v>3</v>
      </c>
      <c r="I199">
        <v>3</v>
      </c>
    </row>
    <row r="200" spans="1:9">
      <c r="A200" t="s">
        <v>421</v>
      </c>
      <c r="B200">
        <v>33</v>
      </c>
      <c r="C200">
        <v>3</v>
      </c>
      <c r="D200">
        <v>2</v>
      </c>
      <c r="E200">
        <v>99.59999999999999</v>
      </c>
      <c r="F200">
        <v>197.4</v>
      </c>
      <c r="G200" t="s">
        <v>422</v>
      </c>
      <c r="H200">
        <v>3</v>
      </c>
      <c r="I200">
        <v>5</v>
      </c>
    </row>
    <row r="201" spans="1:9">
      <c r="A201" t="s">
        <v>421</v>
      </c>
      <c r="B201">
        <v>20</v>
      </c>
      <c r="C201">
        <v>1</v>
      </c>
      <c r="D201">
        <v>5</v>
      </c>
      <c r="E201">
        <v>121.1</v>
      </c>
      <c r="F201">
        <v>176.7</v>
      </c>
      <c r="G201" t="s">
        <v>422</v>
      </c>
      <c r="H201">
        <v>1</v>
      </c>
      <c r="I201">
        <v>0</v>
      </c>
    </row>
    <row r="202" spans="1:9">
      <c r="A202" t="s">
        <v>421</v>
      </c>
      <c r="B202">
        <v>27</v>
      </c>
      <c r="C202">
        <v>4</v>
      </c>
      <c r="D202">
        <v>6</v>
      </c>
      <c r="E202">
        <v>102.7</v>
      </c>
      <c r="F202">
        <v>46.6</v>
      </c>
      <c r="G202" t="s">
        <v>422</v>
      </c>
      <c r="H202">
        <v>1</v>
      </c>
      <c r="I202">
        <v>0</v>
      </c>
    </row>
    <row r="203" spans="1:9">
      <c r="A203" t="s">
        <v>421</v>
      </c>
      <c r="B203">
        <v>33</v>
      </c>
      <c r="C203">
        <v>4</v>
      </c>
      <c r="D203">
        <v>4</v>
      </c>
      <c r="E203">
        <v>81.40000000000001</v>
      </c>
      <c r="F203">
        <v>63.4</v>
      </c>
      <c r="G203" t="s">
        <v>422</v>
      </c>
      <c r="H203">
        <v>2</v>
      </c>
      <c r="I203">
        <v>2</v>
      </c>
    </row>
    <row r="204" spans="1:9">
      <c r="A204" t="s">
        <v>421</v>
      </c>
      <c r="B204">
        <v>37</v>
      </c>
      <c r="C204">
        <v>2</v>
      </c>
      <c r="D204">
        <v>4</v>
      </c>
      <c r="E204">
        <v>48.2</v>
      </c>
      <c r="F204">
        <v>60.6</v>
      </c>
      <c r="G204" t="s">
        <v>420</v>
      </c>
      <c r="H204">
        <v>0</v>
      </c>
      <c r="I204">
        <v>2</v>
      </c>
    </row>
    <row r="205" spans="1:9">
      <c r="A205" t="s">
        <v>421</v>
      </c>
      <c r="B205">
        <v>26</v>
      </c>
      <c r="C205">
        <v>2</v>
      </c>
      <c r="D205">
        <v>2</v>
      </c>
      <c r="E205">
        <v>33.8</v>
      </c>
      <c r="F205">
        <v>81.40000000000001</v>
      </c>
      <c r="G205" t="s">
        <v>422</v>
      </c>
      <c r="H205">
        <v>3</v>
      </c>
      <c r="I205">
        <v>7</v>
      </c>
    </row>
    <row r="206" spans="1:9">
      <c r="A206" t="s">
        <v>421</v>
      </c>
      <c r="B206">
        <v>24</v>
      </c>
      <c r="C206">
        <v>1</v>
      </c>
      <c r="D206">
        <v>4</v>
      </c>
      <c r="E206">
        <v>37</v>
      </c>
      <c r="F206">
        <v>52.7</v>
      </c>
      <c r="G206" t="s">
        <v>420</v>
      </c>
      <c r="H206">
        <v>3</v>
      </c>
      <c r="I206">
        <v>6</v>
      </c>
    </row>
    <row r="207" spans="1:9">
      <c r="A207" t="s">
        <v>421</v>
      </c>
      <c r="B207">
        <v>27</v>
      </c>
      <c r="C207">
        <v>1</v>
      </c>
      <c r="D207">
        <v>5</v>
      </c>
      <c r="E207">
        <v>99.40000000000001</v>
      </c>
      <c r="F207">
        <v>352.2</v>
      </c>
      <c r="G207" t="s">
        <v>420</v>
      </c>
      <c r="H207">
        <v>2</v>
      </c>
      <c r="I207">
        <v>8</v>
      </c>
    </row>
    <row r="208" spans="1:9">
      <c r="A208" t="s">
        <v>421</v>
      </c>
      <c r="B208">
        <v>26</v>
      </c>
      <c r="C208">
        <v>0</v>
      </c>
      <c r="D208">
        <v>2</v>
      </c>
      <c r="E208">
        <v>137</v>
      </c>
      <c r="F208">
        <v>384</v>
      </c>
      <c r="G208" t="s">
        <v>422</v>
      </c>
      <c r="H208">
        <v>3</v>
      </c>
      <c r="I208">
        <v>7</v>
      </c>
    </row>
    <row r="209" spans="1:9">
      <c r="A209" t="s">
        <v>421</v>
      </c>
      <c r="B209">
        <v>19</v>
      </c>
      <c r="C209">
        <v>0</v>
      </c>
      <c r="D209">
        <v>4</v>
      </c>
      <c r="E209">
        <v>66.90000000000001</v>
      </c>
      <c r="F209">
        <v>160.6</v>
      </c>
      <c r="G209" t="s">
        <v>420</v>
      </c>
      <c r="H209">
        <v>2</v>
      </c>
      <c r="I209">
        <v>6</v>
      </c>
    </row>
    <row r="210" spans="1:9">
      <c r="A210" t="s">
        <v>421</v>
      </c>
      <c r="B210">
        <v>38</v>
      </c>
      <c r="C210">
        <v>1</v>
      </c>
      <c r="D210">
        <v>2</v>
      </c>
      <c r="E210">
        <v>68.40000000000001</v>
      </c>
      <c r="F210">
        <v>298.3</v>
      </c>
      <c r="G210" t="s">
        <v>422</v>
      </c>
      <c r="H210">
        <v>1</v>
      </c>
      <c r="I210">
        <v>0</v>
      </c>
    </row>
    <row r="211" spans="1:9">
      <c r="A211" t="s">
        <v>421</v>
      </c>
      <c r="B211">
        <v>24</v>
      </c>
      <c r="C211">
        <v>1</v>
      </c>
      <c r="D211">
        <v>6</v>
      </c>
      <c r="E211">
        <v>79.40000000000001</v>
      </c>
      <c r="F211">
        <v>323.8</v>
      </c>
      <c r="G211" t="s">
        <v>422</v>
      </c>
      <c r="H211">
        <v>3</v>
      </c>
      <c r="I211">
        <v>8</v>
      </c>
    </row>
    <row r="212" spans="1:9">
      <c r="A212" t="s">
        <v>421</v>
      </c>
      <c r="B212">
        <v>23</v>
      </c>
      <c r="C212">
        <v>3</v>
      </c>
      <c r="D212">
        <v>4</v>
      </c>
      <c r="E212">
        <v>52.1</v>
      </c>
      <c r="F212">
        <v>93.7</v>
      </c>
      <c r="G212" t="s">
        <v>422</v>
      </c>
      <c r="H212">
        <v>0</v>
      </c>
      <c r="I212">
        <v>0</v>
      </c>
    </row>
    <row r="213" spans="1:9">
      <c r="A213" t="s">
        <v>421</v>
      </c>
      <c r="B213">
        <v>48</v>
      </c>
      <c r="C213">
        <v>4</v>
      </c>
      <c r="D213">
        <v>4</v>
      </c>
      <c r="E213">
        <v>68.7</v>
      </c>
      <c r="F213">
        <v>310.7</v>
      </c>
      <c r="G213" t="s">
        <v>422</v>
      </c>
      <c r="H213">
        <v>2</v>
      </c>
      <c r="I213">
        <v>4</v>
      </c>
    </row>
    <row r="214" spans="1:9">
      <c r="A214" t="s">
        <v>421</v>
      </c>
      <c r="B214">
        <v>33</v>
      </c>
      <c r="C214">
        <v>1</v>
      </c>
      <c r="D214">
        <v>4</v>
      </c>
      <c r="E214">
        <v>81.59999999999999</v>
      </c>
      <c r="F214">
        <v>127.2</v>
      </c>
      <c r="G214" t="s">
        <v>420</v>
      </c>
      <c r="H214">
        <v>0</v>
      </c>
      <c r="I214">
        <v>0</v>
      </c>
    </row>
    <row r="215" spans="1:9">
      <c r="A215" t="s">
        <v>421</v>
      </c>
      <c r="B215">
        <v>27</v>
      </c>
      <c r="C215">
        <v>4</v>
      </c>
      <c r="D215">
        <v>5</v>
      </c>
      <c r="E215">
        <v>118.5</v>
      </c>
      <c r="F215">
        <v>117.3</v>
      </c>
      <c r="G215" t="s">
        <v>420</v>
      </c>
      <c r="H215">
        <v>3</v>
      </c>
      <c r="I215">
        <v>3</v>
      </c>
    </row>
    <row r="216" spans="1:9">
      <c r="A216" t="s">
        <v>421</v>
      </c>
      <c r="B216">
        <v>45</v>
      </c>
      <c r="C216">
        <v>2</v>
      </c>
      <c r="D216">
        <v>3</v>
      </c>
      <c r="E216">
        <v>133.8</v>
      </c>
      <c r="F216">
        <v>337</v>
      </c>
      <c r="G216" t="s">
        <v>420</v>
      </c>
      <c r="H216">
        <v>0</v>
      </c>
      <c r="I216">
        <v>1</v>
      </c>
    </row>
    <row r="217" spans="1:9">
      <c r="A217" t="s">
        <v>421</v>
      </c>
      <c r="B217">
        <v>20</v>
      </c>
      <c r="C217">
        <v>3</v>
      </c>
      <c r="D217">
        <v>3</v>
      </c>
      <c r="E217">
        <v>62.3</v>
      </c>
      <c r="F217">
        <v>260.1</v>
      </c>
      <c r="G217" t="s">
        <v>420</v>
      </c>
      <c r="H217">
        <v>2</v>
      </c>
      <c r="I217">
        <v>4</v>
      </c>
    </row>
    <row r="218" spans="1:9">
      <c r="A218" t="s">
        <v>421</v>
      </c>
      <c r="B218">
        <v>28</v>
      </c>
      <c r="C218">
        <v>4</v>
      </c>
      <c r="D218">
        <v>4</v>
      </c>
      <c r="E218">
        <v>52.8</v>
      </c>
      <c r="F218">
        <v>129.7</v>
      </c>
      <c r="G218" t="s">
        <v>422</v>
      </c>
      <c r="H218">
        <v>2</v>
      </c>
      <c r="I218">
        <v>2</v>
      </c>
    </row>
    <row r="219" spans="1:9">
      <c r="A219" t="s">
        <v>421</v>
      </c>
      <c r="B219">
        <v>31</v>
      </c>
      <c r="C219">
        <v>3</v>
      </c>
      <c r="D219">
        <v>3</v>
      </c>
      <c r="E219">
        <v>46.5</v>
      </c>
      <c r="F219">
        <v>354.8</v>
      </c>
      <c r="G219" t="s">
        <v>422</v>
      </c>
      <c r="H219">
        <v>2</v>
      </c>
      <c r="I219">
        <v>6</v>
      </c>
    </row>
    <row r="220" spans="1:9">
      <c r="A220" t="s">
        <v>421</v>
      </c>
      <c r="B220">
        <v>23</v>
      </c>
      <c r="C220">
        <v>3</v>
      </c>
      <c r="D220">
        <v>5</v>
      </c>
      <c r="E220">
        <v>72.09999999999999</v>
      </c>
      <c r="F220">
        <v>350.5</v>
      </c>
      <c r="G220" t="s">
        <v>422</v>
      </c>
      <c r="H220">
        <v>0</v>
      </c>
      <c r="I220">
        <v>2</v>
      </c>
    </row>
    <row r="221" spans="1:9">
      <c r="A221" t="s">
        <v>421</v>
      </c>
      <c r="B221">
        <v>22</v>
      </c>
      <c r="C221">
        <v>1</v>
      </c>
      <c r="D221">
        <v>4</v>
      </c>
      <c r="E221">
        <v>39.1</v>
      </c>
      <c r="F221">
        <v>58.8</v>
      </c>
      <c r="G221" t="s">
        <v>420</v>
      </c>
      <c r="H221">
        <v>1</v>
      </c>
      <c r="I221">
        <v>1</v>
      </c>
    </row>
    <row r="222" spans="1:9">
      <c r="A222" t="s">
        <v>421</v>
      </c>
      <c r="B222">
        <v>27</v>
      </c>
      <c r="C222">
        <v>4</v>
      </c>
      <c r="D222">
        <v>4</v>
      </c>
      <c r="E222">
        <v>66.8</v>
      </c>
      <c r="F222">
        <v>143.5</v>
      </c>
      <c r="G222" t="s">
        <v>420</v>
      </c>
      <c r="H222">
        <v>2</v>
      </c>
      <c r="I222">
        <v>8</v>
      </c>
    </row>
    <row r="223" spans="1:9">
      <c r="A223" t="s">
        <v>421</v>
      </c>
      <c r="B223">
        <v>22</v>
      </c>
      <c r="C223">
        <v>1</v>
      </c>
      <c r="D223">
        <v>4</v>
      </c>
      <c r="E223">
        <v>46.2</v>
      </c>
      <c r="F223">
        <v>6.9</v>
      </c>
      <c r="G223" t="s">
        <v>420</v>
      </c>
      <c r="H223">
        <v>2</v>
      </c>
      <c r="I223">
        <v>2</v>
      </c>
    </row>
    <row r="224" spans="1:9">
      <c r="A224" t="s">
        <v>421</v>
      </c>
      <c r="B224">
        <v>35</v>
      </c>
      <c r="C224">
        <v>2</v>
      </c>
      <c r="D224">
        <v>3</v>
      </c>
      <c r="E224">
        <v>140.8</v>
      </c>
      <c r="F224">
        <v>69.59999999999999</v>
      </c>
      <c r="G224" t="s">
        <v>422</v>
      </c>
      <c r="H224">
        <v>2</v>
      </c>
      <c r="I224">
        <v>2</v>
      </c>
    </row>
    <row r="225" spans="1:9">
      <c r="A225" t="s">
        <v>421</v>
      </c>
      <c r="B225">
        <v>22</v>
      </c>
      <c r="C225">
        <v>0</v>
      </c>
      <c r="D225">
        <v>4</v>
      </c>
      <c r="E225">
        <v>90</v>
      </c>
      <c r="F225">
        <v>134.7</v>
      </c>
      <c r="G225" t="s">
        <v>420</v>
      </c>
      <c r="H225">
        <v>1</v>
      </c>
      <c r="I225">
        <v>0</v>
      </c>
    </row>
    <row r="226" spans="1:9">
      <c r="A226" t="s">
        <v>419</v>
      </c>
      <c r="B226">
        <v>30</v>
      </c>
      <c r="C226">
        <v>1</v>
      </c>
      <c r="D226">
        <v>4</v>
      </c>
      <c r="E226">
        <v>48.6</v>
      </c>
      <c r="F226">
        <v>77.8</v>
      </c>
      <c r="G226" t="s">
        <v>420</v>
      </c>
      <c r="H226">
        <v>2</v>
      </c>
      <c r="I226">
        <v>7</v>
      </c>
    </row>
    <row r="227" spans="1:9">
      <c r="A227" t="s">
        <v>421</v>
      </c>
      <c r="B227">
        <v>30</v>
      </c>
      <c r="C227">
        <v>2</v>
      </c>
      <c r="D227">
        <v>5</v>
      </c>
      <c r="E227">
        <v>49.3</v>
      </c>
      <c r="F227">
        <v>68.5</v>
      </c>
      <c r="G227" t="s">
        <v>420</v>
      </c>
      <c r="H227">
        <v>1</v>
      </c>
      <c r="I227">
        <v>1</v>
      </c>
    </row>
    <row r="228" spans="1:9">
      <c r="A228" t="s">
        <v>419</v>
      </c>
      <c r="B228">
        <v>16</v>
      </c>
      <c r="C228">
        <v>1</v>
      </c>
      <c r="D228">
        <v>6</v>
      </c>
      <c r="E228">
        <v>103.4</v>
      </c>
      <c r="F228">
        <v>70.8</v>
      </c>
      <c r="G228" t="s">
        <v>422</v>
      </c>
      <c r="H228">
        <v>1</v>
      </c>
      <c r="I228">
        <v>0</v>
      </c>
    </row>
    <row r="229" spans="1:9">
      <c r="A229" t="s">
        <v>421</v>
      </c>
      <c r="B229">
        <v>31</v>
      </c>
      <c r="C229">
        <v>2</v>
      </c>
      <c r="D229">
        <v>5</v>
      </c>
      <c r="E229">
        <v>45.7</v>
      </c>
      <c r="F229">
        <v>169.2</v>
      </c>
      <c r="G229" t="s">
        <v>422</v>
      </c>
      <c r="H229">
        <v>1</v>
      </c>
      <c r="I229">
        <v>1</v>
      </c>
    </row>
    <row r="230" spans="1:9">
      <c r="A230" t="s">
        <v>419</v>
      </c>
      <c r="B230">
        <v>20</v>
      </c>
      <c r="C230">
        <v>1</v>
      </c>
      <c r="D230">
        <v>3</v>
      </c>
      <c r="E230">
        <v>101.8</v>
      </c>
      <c r="F230">
        <v>21.9</v>
      </c>
      <c r="G230" t="s">
        <v>420</v>
      </c>
      <c r="H230">
        <v>0</v>
      </c>
      <c r="I230">
        <v>1</v>
      </c>
    </row>
    <row r="231" spans="1:9">
      <c r="A231" t="s">
        <v>421</v>
      </c>
      <c r="B231">
        <v>26</v>
      </c>
      <c r="C231">
        <v>0</v>
      </c>
      <c r="D231">
        <v>2</v>
      </c>
      <c r="E231">
        <v>129.6</v>
      </c>
      <c r="F231">
        <v>399.1</v>
      </c>
      <c r="G231" t="s">
        <v>422</v>
      </c>
      <c r="H231">
        <v>2</v>
      </c>
      <c r="I231">
        <v>6</v>
      </c>
    </row>
    <row r="232" spans="1:9">
      <c r="A232" t="s">
        <v>421</v>
      </c>
      <c r="B232">
        <v>32</v>
      </c>
      <c r="C232">
        <v>2</v>
      </c>
      <c r="D232">
        <v>3</v>
      </c>
      <c r="E232">
        <v>64</v>
      </c>
      <c r="F232">
        <v>287.5</v>
      </c>
      <c r="G232" t="s">
        <v>422</v>
      </c>
      <c r="H232">
        <v>3</v>
      </c>
      <c r="I232">
        <v>2</v>
      </c>
    </row>
    <row r="233" spans="1:9">
      <c r="A233" t="s">
        <v>421</v>
      </c>
      <c r="B233">
        <v>32</v>
      </c>
      <c r="C233">
        <v>2</v>
      </c>
      <c r="D233">
        <v>3</v>
      </c>
      <c r="E233">
        <v>80.90000000000001</v>
      </c>
      <c r="F233">
        <v>336.4</v>
      </c>
      <c r="G233" t="s">
        <v>422</v>
      </c>
      <c r="H233">
        <v>0</v>
      </c>
      <c r="I233">
        <v>1</v>
      </c>
    </row>
    <row r="234" spans="1:9">
      <c r="A234" t="s">
        <v>419</v>
      </c>
      <c r="B234">
        <v>30</v>
      </c>
      <c r="C234">
        <v>2</v>
      </c>
      <c r="D234">
        <v>5</v>
      </c>
      <c r="E234">
        <v>96.8</v>
      </c>
      <c r="F234">
        <v>262</v>
      </c>
      <c r="G234" t="s">
        <v>420</v>
      </c>
      <c r="H234">
        <v>3</v>
      </c>
      <c r="I234">
        <v>8</v>
      </c>
    </row>
    <row r="235" spans="1:9">
      <c r="A235" t="s">
        <v>419</v>
      </c>
      <c r="B235">
        <v>43</v>
      </c>
      <c r="C235">
        <v>3</v>
      </c>
      <c r="D235">
        <v>1</v>
      </c>
      <c r="E235">
        <v>76.59999999999999</v>
      </c>
      <c r="F235">
        <v>62.1</v>
      </c>
      <c r="G235" t="s">
        <v>422</v>
      </c>
      <c r="H235">
        <v>3</v>
      </c>
      <c r="I235">
        <v>5</v>
      </c>
    </row>
    <row r="236" spans="1:9">
      <c r="A236" t="s">
        <v>421</v>
      </c>
      <c r="B236">
        <v>21</v>
      </c>
      <c r="C236">
        <v>0</v>
      </c>
      <c r="D236">
        <v>4</v>
      </c>
      <c r="E236">
        <v>81.59999999999999</v>
      </c>
      <c r="F236">
        <v>26.7</v>
      </c>
      <c r="G236" t="s">
        <v>422</v>
      </c>
      <c r="H236">
        <v>1</v>
      </c>
      <c r="I236">
        <v>1</v>
      </c>
    </row>
    <row r="237" spans="1:9">
      <c r="A237" t="s">
        <v>419</v>
      </c>
      <c r="B237">
        <v>28</v>
      </c>
      <c r="C237">
        <v>1</v>
      </c>
      <c r="D237">
        <v>1</v>
      </c>
      <c r="E237">
        <v>137.7</v>
      </c>
      <c r="F237">
        <v>47.1</v>
      </c>
      <c r="G237" t="s">
        <v>420</v>
      </c>
      <c r="H237">
        <v>1</v>
      </c>
      <c r="I237">
        <v>1</v>
      </c>
    </row>
    <row r="238" spans="1:9">
      <c r="A238" t="s">
        <v>419</v>
      </c>
      <c r="B238">
        <v>27</v>
      </c>
      <c r="C238">
        <v>0</v>
      </c>
      <c r="D238">
        <v>4</v>
      </c>
      <c r="E238">
        <v>74.5</v>
      </c>
      <c r="F238">
        <v>65.90000000000001</v>
      </c>
      <c r="G238" t="s">
        <v>420</v>
      </c>
      <c r="H238">
        <v>2</v>
      </c>
      <c r="I238">
        <v>8</v>
      </c>
    </row>
    <row r="239" spans="1:9">
      <c r="A239" t="s">
        <v>419</v>
      </c>
      <c r="B239">
        <v>23</v>
      </c>
      <c r="C239">
        <v>0</v>
      </c>
      <c r="D239">
        <v>4</v>
      </c>
      <c r="E239">
        <v>96.3</v>
      </c>
      <c r="F239">
        <v>148.7</v>
      </c>
      <c r="G239" t="s">
        <v>422</v>
      </c>
      <c r="H239">
        <v>0</v>
      </c>
      <c r="I239">
        <v>2</v>
      </c>
    </row>
    <row r="240" spans="1:9">
      <c r="A240" t="s">
        <v>423</v>
      </c>
      <c r="B240">
        <v>26</v>
      </c>
      <c r="C240">
        <v>3</v>
      </c>
      <c r="D240">
        <v>4</v>
      </c>
      <c r="E240">
        <v>85.8</v>
      </c>
      <c r="F240">
        <v>261.3</v>
      </c>
      <c r="G240" t="s">
        <v>422</v>
      </c>
      <c r="H240">
        <v>1</v>
      </c>
      <c r="I240">
        <v>0</v>
      </c>
    </row>
    <row r="241" spans="1:9">
      <c r="A241" t="s">
        <v>419</v>
      </c>
      <c r="B241">
        <v>20</v>
      </c>
      <c r="C241">
        <v>1</v>
      </c>
      <c r="D241">
        <v>3</v>
      </c>
      <c r="E241">
        <v>32.8</v>
      </c>
      <c r="F241">
        <v>256.6</v>
      </c>
      <c r="G241" t="s">
        <v>422</v>
      </c>
      <c r="H241">
        <v>0</v>
      </c>
      <c r="I241">
        <v>1</v>
      </c>
    </row>
    <row r="242" spans="1:9">
      <c r="A242" t="s">
        <v>419</v>
      </c>
      <c r="B242">
        <v>28</v>
      </c>
      <c r="C242">
        <v>2</v>
      </c>
      <c r="D242">
        <v>3</v>
      </c>
      <c r="E242">
        <v>72.3</v>
      </c>
      <c r="F242">
        <v>275.5</v>
      </c>
      <c r="G242" t="s">
        <v>422</v>
      </c>
      <c r="H242">
        <v>8</v>
      </c>
      <c r="I242">
        <v>5</v>
      </c>
    </row>
    <row r="243" spans="1:9">
      <c r="A243" t="s">
        <v>421</v>
      </c>
      <c r="B243">
        <v>34</v>
      </c>
      <c r="C243">
        <v>1</v>
      </c>
      <c r="D243">
        <v>2</v>
      </c>
      <c r="E243">
        <v>65.7</v>
      </c>
      <c r="F243">
        <v>386.7</v>
      </c>
      <c r="G243" t="s">
        <v>422</v>
      </c>
      <c r="H243">
        <v>8</v>
      </c>
      <c r="I243">
        <v>2</v>
      </c>
    </row>
    <row r="244" spans="1:9">
      <c r="A244" t="s">
        <v>419</v>
      </c>
      <c r="B244">
        <v>50</v>
      </c>
      <c r="C244">
        <v>4</v>
      </c>
      <c r="D244">
        <v>3</v>
      </c>
      <c r="E244">
        <v>42.6</v>
      </c>
      <c r="F244">
        <v>89.09999999999999</v>
      </c>
      <c r="G244" t="s">
        <v>422</v>
      </c>
      <c r="H244">
        <v>20</v>
      </c>
      <c r="I244">
        <v>11</v>
      </c>
    </row>
    <row r="245" spans="1:9">
      <c r="A245" t="s">
        <v>419</v>
      </c>
      <c r="B245">
        <v>36</v>
      </c>
      <c r="C245">
        <v>1</v>
      </c>
      <c r="D245">
        <v>2</v>
      </c>
      <c r="E245">
        <v>98.3</v>
      </c>
      <c r="F245">
        <v>344.6</v>
      </c>
      <c r="G245" t="s">
        <v>422</v>
      </c>
      <c r="H245">
        <v>10</v>
      </c>
      <c r="I245">
        <v>4</v>
      </c>
    </row>
    <row r="246" spans="1:9">
      <c r="A246" t="s">
        <v>421</v>
      </c>
      <c r="B246">
        <v>20</v>
      </c>
      <c r="C246">
        <v>0</v>
      </c>
      <c r="D246">
        <v>3</v>
      </c>
      <c r="E246">
        <v>111.9</v>
      </c>
      <c r="F246">
        <v>30.8</v>
      </c>
      <c r="G246" t="s">
        <v>420</v>
      </c>
      <c r="H246">
        <v>1</v>
      </c>
      <c r="I246">
        <v>1</v>
      </c>
    </row>
    <row r="247" spans="1:9">
      <c r="A247" t="s">
        <v>423</v>
      </c>
      <c r="B247">
        <v>50</v>
      </c>
      <c r="C247">
        <v>0</v>
      </c>
      <c r="D247">
        <v>2</v>
      </c>
      <c r="E247">
        <v>79.59999999999999</v>
      </c>
      <c r="F247">
        <v>394.8</v>
      </c>
      <c r="G247" t="s">
        <v>422</v>
      </c>
      <c r="H247">
        <v>12</v>
      </c>
      <c r="I247">
        <v>17</v>
      </c>
    </row>
    <row r="248" spans="1:9">
      <c r="A248" t="s">
        <v>423</v>
      </c>
      <c r="B248">
        <v>33</v>
      </c>
      <c r="C248">
        <v>3</v>
      </c>
      <c r="D248">
        <v>3</v>
      </c>
      <c r="E248">
        <v>120.2</v>
      </c>
      <c r="F248">
        <v>77</v>
      </c>
      <c r="G248" t="s">
        <v>422</v>
      </c>
      <c r="H248">
        <v>7</v>
      </c>
      <c r="I248">
        <v>4</v>
      </c>
    </row>
    <row r="249" spans="1:9">
      <c r="A249" t="s">
        <v>421</v>
      </c>
      <c r="B249">
        <v>38</v>
      </c>
      <c r="C249">
        <v>2</v>
      </c>
      <c r="D249">
        <v>2</v>
      </c>
      <c r="E249">
        <v>74.3</v>
      </c>
      <c r="F249">
        <v>55.8</v>
      </c>
      <c r="G249" t="s">
        <v>420</v>
      </c>
      <c r="H249">
        <v>13</v>
      </c>
      <c r="I249">
        <v>17</v>
      </c>
    </row>
    <row r="250" spans="1:9">
      <c r="A250" t="s">
        <v>419</v>
      </c>
      <c r="B250">
        <v>33</v>
      </c>
      <c r="C250">
        <v>4</v>
      </c>
      <c r="D250">
        <v>6</v>
      </c>
      <c r="E250">
        <v>111.3</v>
      </c>
      <c r="F250">
        <v>310.2</v>
      </c>
      <c r="G250" t="s">
        <v>422</v>
      </c>
      <c r="H250">
        <v>15</v>
      </c>
      <c r="I250">
        <v>16</v>
      </c>
    </row>
    <row r="251" spans="1:9">
      <c r="A251" t="s">
        <v>423</v>
      </c>
      <c r="B251">
        <v>59</v>
      </c>
      <c r="C251">
        <v>1</v>
      </c>
      <c r="D251">
        <v>2</v>
      </c>
      <c r="E251">
        <v>119.1</v>
      </c>
      <c r="F251">
        <v>143.3</v>
      </c>
      <c r="G251" t="s">
        <v>422</v>
      </c>
      <c r="H251">
        <v>12</v>
      </c>
      <c r="I251">
        <v>10</v>
      </c>
    </row>
    <row r="252" spans="1:9">
      <c r="A252" t="s">
        <v>419</v>
      </c>
      <c r="B252">
        <v>45</v>
      </c>
      <c r="C252">
        <v>1</v>
      </c>
      <c r="D252">
        <v>2</v>
      </c>
      <c r="E252">
        <v>117.9</v>
      </c>
      <c r="F252">
        <v>178.3</v>
      </c>
      <c r="G252" t="s">
        <v>420</v>
      </c>
      <c r="H252">
        <v>9</v>
      </c>
      <c r="I252">
        <v>7</v>
      </c>
    </row>
    <row r="253" spans="1:9">
      <c r="A253" t="s">
        <v>421</v>
      </c>
      <c r="B253">
        <v>37</v>
      </c>
      <c r="C253">
        <v>3</v>
      </c>
      <c r="D253">
        <v>2</v>
      </c>
      <c r="E253">
        <v>43.4</v>
      </c>
      <c r="F253">
        <v>48.2</v>
      </c>
      <c r="G253" t="s">
        <v>420</v>
      </c>
      <c r="H253">
        <v>12</v>
      </c>
      <c r="I253">
        <v>17</v>
      </c>
    </row>
    <row r="254" spans="1:9">
      <c r="A254" t="s">
        <v>423</v>
      </c>
      <c r="B254">
        <v>58</v>
      </c>
      <c r="C254">
        <v>2</v>
      </c>
      <c r="D254">
        <v>4</v>
      </c>
      <c r="E254">
        <v>83.90000000000001</v>
      </c>
      <c r="F254">
        <v>328.4</v>
      </c>
      <c r="G254" t="s">
        <v>420</v>
      </c>
      <c r="H254">
        <v>13</v>
      </c>
      <c r="I254">
        <v>16</v>
      </c>
    </row>
    <row r="255" spans="1:9">
      <c r="A255" t="s">
        <v>419</v>
      </c>
      <c r="B255">
        <v>42</v>
      </c>
      <c r="C255">
        <v>2</v>
      </c>
      <c r="D255">
        <v>4</v>
      </c>
      <c r="E255">
        <v>90.09999999999999</v>
      </c>
      <c r="F255">
        <v>257.8</v>
      </c>
      <c r="G255" t="s">
        <v>422</v>
      </c>
      <c r="H255">
        <v>7</v>
      </c>
      <c r="I255">
        <v>8</v>
      </c>
    </row>
    <row r="256" spans="1:9">
      <c r="A256" t="s">
        <v>423</v>
      </c>
      <c r="B256">
        <v>38</v>
      </c>
      <c r="C256">
        <v>4</v>
      </c>
      <c r="D256">
        <v>3</v>
      </c>
      <c r="E256">
        <v>38</v>
      </c>
      <c r="F256">
        <v>82</v>
      </c>
      <c r="G256" t="s">
        <v>420</v>
      </c>
      <c r="H256">
        <v>17</v>
      </c>
      <c r="I256">
        <v>20</v>
      </c>
    </row>
    <row r="257" spans="1:9">
      <c r="A257" t="s">
        <v>423</v>
      </c>
      <c r="B257">
        <v>46</v>
      </c>
      <c r="C257">
        <v>4</v>
      </c>
      <c r="D257">
        <v>3</v>
      </c>
      <c r="E257">
        <v>40.4</v>
      </c>
      <c r="F257">
        <v>166.7</v>
      </c>
      <c r="G257" t="s">
        <v>420</v>
      </c>
      <c r="H257">
        <v>9</v>
      </c>
      <c r="I257">
        <v>3</v>
      </c>
    </row>
    <row r="258" spans="1:9">
      <c r="A258" t="s">
        <v>421</v>
      </c>
      <c r="B258">
        <v>35</v>
      </c>
      <c r="C258">
        <v>3</v>
      </c>
      <c r="D258">
        <v>4</v>
      </c>
      <c r="E258">
        <v>130</v>
      </c>
      <c r="F258">
        <v>344.4</v>
      </c>
      <c r="G258" t="s">
        <v>420</v>
      </c>
      <c r="H258">
        <v>7</v>
      </c>
      <c r="I258">
        <v>3</v>
      </c>
    </row>
    <row r="259" spans="1:9">
      <c r="A259" t="s">
        <v>423</v>
      </c>
      <c r="B259">
        <v>28</v>
      </c>
      <c r="C259">
        <v>4</v>
      </c>
      <c r="D259">
        <v>2</v>
      </c>
      <c r="E259">
        <v>110.9</v>
      </c>
      <c r="F259">
        <v>23.8</v>
      </c>
      <c r="G259" t="s">
        <v>420</v>
      </c>
      <c r="H259">
        <v>9</v>
      </c>
      <c r="I259">
        <v>7</v>
      </c>
    </row>
    <row r="260" spans="1:9">
      <c r="A260" t="s">
        <v>419</v>
      </c>
      <c r="B260">
        <v>33</v>
      </c>
      <c r="C260">
        <v>0</v>
      </c>
      <c r="D260">
        <v>1</v>
      </c>
      <c r="E260">
        <v>127.6</v>
      </c>
      <c r="F260">
        <v>164.6</v>
      </c>
      <c r="G260" t="s">
        <v>420</v>
      </c>
      <c r="H260">
        <v>10</v>
      </c>
      <c r="I260">
        <v>8</v>
      </c>
    </row>
    <row r="261" spans="1:9">
      <c r="A261" t="s">
        <v>419</v>
      </c>
      <c r="B261">
        <v>28</v>
      </c>
      <c r="C261">
        <v>4</v>
      </c>
      <c r="D261">
        <v>3</v>
      </c>
      <c r="E261">
        <v>46.7</v>
      </c>
      <c r="F261">
        <v>314.3</v>
      </c>
      <c r="G261" t="s">
        <v>422</v>
      </c>
      <c r="H261">
        <v>9</v>
      </c>
      <c r="I261">
        <v>8</v>
      </c>
    </row>
    <row r="262" spans="1:9">
      <c r="A262" t="s">
        <v>423</v>
      </c>
      <c r="B262">
        <v>21</v>
      </c>
      <c r="C262">
        <v>3</v>
      </c>
      <c r="D262">
        <v>3</v>
      </c>
      <c r="E262">
        <v>65.09999999999999</v>
      </c>
      <c r="F262">
        <v>103.4</v>
      </c>
      <c r="G262" t="s">
        <v>420</v>
      </c>
      <c r="H262">
        <v>2</v>
      </c>
      <c r="I262">
        <v>4</v>
      </c>
    </row>
    <row r="263" spans="1:9">
      <c r="A263" t="s">
        <v>421</v>
      </c>
      <c r="B263">
        <v>37</v>
      </c>
      <c r="C263">
        <v>1</v>
      </c>
      <c r="D263">
        <v>3</v>
      </c>
      <c r="E263">
        <v>131.1</v>
      </c>
      <c r="F263">
        <v>113.5</v>
      </c>
      <c r="G263" t="s">
        <v>420</v>
      </c>
      <c r="H263">
        <v>10</v>
      </c>
      <c r="I263">
        <v>7</v>
      </c>
    </row>
    <row r="264" spans="1:9">
      <c r="A264" t="s">
        <v>419</v>
      </c>
      <c r="B264">
        <v>24</v>
      </c>
      <c r="C264">
        <v>0</v>
      </c>
      <c r="D264">
        <v>5</v>
      </c>
      <c r="E264">
        <v>47.9</v>
      </c>
      <c r="F264">
        <v>38</v>
      </c>
      <c r="G264" t="s">
        <v>420</v>
      </c>
      <c r="H264">
        <v>5</v>
      </c>
      <c r="I264">
        <v>8</v>
      </c>
    </row>
    <row r="265" spans="1:9">
      <c r="A265" t="s">
        <v>421</v>
      </c>
      <c r="B265">
        <v>29</v>
      </c>
      <c r="C265">
        <v>2</v>
      </c>
      <c r="D265">
        <v>3</v>
      </c>
      <c r="E265">
        <v>36</v>
      </c>
      <c r="F265">
        <v>284.3</v>
      </c>
      <c r="G265" t="s">
        <v>422</v>
      </c>
      <c r="H265">
        <v>6</v>
      </c>
      <c r="I265">
        <v>3</v>
      </c>
    </row>
    <row r="266" spans="1:9">
      <c r="A266" t="s">
        <v>419</v>
      </c>
      <c r="B266">
        <v>37</v>
      </c>
      <c r="C266">
        <v>1</v>
      </c>
      <c r="D266">
        <v>2</v>
      </c>
      <c r="E266">
        <v>34.3</v>
      </c>
      <c r="F266">
        <v>353.8</v>
      </c>
      <c r="G266" t="s">
        <v>422</v>
      </c>
      <c r="H266">
        <v>3</v>
      </c>
      <c r="I266">
        <v>6</v>
      </c>
    </row>
    <row r="267" spans="1:9">
      <c r="A267" t="s">
        <v>421</v>
      </c>
      <c r="B267">
        <v>39</v>
      </c>
      <c r="C267">
        <v>3</v>
      </c>
      <c r="D267">
        <v>4</v>
      </c>
      <c r="E267">
        <v>97.8</v>
      </c>
      <c r="F267">
        <v>356.3</v>
      </c>
      <c r="G267" t="s">
        <v>420</v>
      </c>
      <c r="H267">
        <v>3</v>
      </c>
      <c r="I267">
        <v>7</v>
      </c>
    </row>
    <row r="268" spans="1:9">
      <c r="A268" t="s">
        <v>423</v>
      </c>
      <c r="B268">
        <v>43</v>
      </c>
      <c r="C268">
        <v>4</v>
      </c>
      <c r="D268">
        <v>3</v>
      </c>
      <c r="E268">
        <v>109.5</v>
      </c>
      <c r="F268">
        <v>323.7</v>
      </c>
      <c r="G268" t="s">
        <v>420</v>
      </c>
      <c r="H268">
        <v>4</v>
      </c>
      <c r="I268">
        <v>7</v>
      </c>
    </row>
    <row r="269" spans="1:9">
      <c r="A269" t="s">
        <v>423</v>
      </c>
      <c r="B269">
        <v>40</v>
      </c>
      <c r="C269">
        <v>4</v>
      </c>
      <c r="D269">
        <v>4</v>
      </c>
      <c r="E269">
        <v>48.5</v>
      </c>
      <c r="F269">
        <v>81.8</v>
      </c>
      <c r="G269" t="s">
        <v>420</v>
      </c>
      <c r="H269">
        <v>6</v>
      </c>
      <c r="I269">
        <v>5</v>
      </c>
    </row>
    <row r="270" spans="1:9">
      <c r="A270" t="s">
        <v>419</v>
      </c>
      <c r="B270">
        <v>25</v>
      </c>
      <c r="C270">
        <v>2</v>
      </c>
      <c r="D270">
        <v>6</v>
      </c>
      <c r="E270">
        <v>138.5</v>
      </c>
      <c r="F270">
        <v>297.7</v>
      </c>
      <c r="G270" t="s">
        <v>420</v>
      </c>
      <c r="H270">
        <v>3</v>
      </c>
      <c r="I270">
        <v>4</v>
      </c>
    </row>
    <row r="271" spans="1:9">
      <c r="A271" t="s">
        <v>419</v>
      </c>
      <c r="B271">
        <v>36</v>
      </c>
      <c r="C271">
        <v>4</v>
      </c>
      <c r="D271">
        <v>6</v>
      </c>
      <c r="E271">
        <v>137.8</v>
      </c>
      <c r="F271">
        <v>338.5</v>
      </c>
      <c r="G271" t="s">
        <v>422</v>
      </c>
      <c r="H271">
        <v>5</v>
      </c>
      <c r="I271">
        <v>5</v>
      </c>
    </row>
    <row r="272" spans="1:9">
      <c r="A272" t="s">
        <v>421</v>
      </c>
      <c r="B272">
        <v>22</v>
      </c>
      <c r="C272">
        <v>4</v>
      </c>
      <c r="D272">
        <v>3</v>
      </c>
      <c r="E272">
        <v>63.4</v>
      </c>
      <c r="F272">
        <v>367.4</v>
      </c>
      <c r="G272" t="s">
        <v>422</v>
      </c>
      <c r="H272">
        <v>4</v>
      </c>
      <c r="I272">
        <v>5</v>
      </c>
    </row>
    <row r="273" spans="1:9">
      <c r="A273" t="s">
        <v>423</v>
      </c>
      <c r="B273">
        <v>36</v>
      </c>
      <c r="C273">
        <v>4</v>
      </c>
      <c r="D273">
        <v>1</v>
      </c>
      <c r="E273">
        <v>125.2</v>
      </c>
      <c r="F273">
        <v>45</v>
      </c>
      <c r="G273" t="s">
        <v>420</v>
      </c>
      <c r="H273">
        <v>3</v>
      </c>
      <c r="I273">
        <v>2</v>
      </c>
    </row>
    <row r="274" spans="1:9">
      <c r="A274" t="s">
        <v>419</v>
      </c>
      <c r="B274">
        <v>47</v>
      </c>
      <c r="C274">
        <v>1</v>
      </c>
      <c r="D274">
        <v>3</v>
      </c>
      <c r="E274">
        <v>74.59999999999999</v>
      </c>
      <c r="F274">
        <v>153.7</v>
      </c>
      <c r="G274" t="s">
        <v>422</v>
      </c>
      <c r="H274">
        <v>2</v>
      </c>
      <c r="I274">
        <v>3</v>
      </c>
    </row>
    <row r="275" spans="1:9">
      <c r="A275" t="s">
        <v>419</v>
      </c>
      <c r="B275">
        <v>38</v>
      </c>
      <c r="C275">
        <v>1</v>
      </c>
      <c r="D275">
        <v>3</v>
      </c>
      <c r="E275">
        <v>103.8</v>
      </c>
      <c r="F275">
        <v>305.6</v>
      </c>
      <c r="G275" t="s">
        <v>420</v>
      </c>
      <c r="H275">
        <v>4</v>
      </c>
      <c r="I275">
        <v>5</v>
      </c>
    </row>
    <row r="276" spans="1:9">
      <c r="A276" t="s">
        <v>419</v>
      </c>
      <c r="B276">
        <v>24</v>
      </c>
      <c r="C276">
        <v>4</v>
      </c>
      <c r="D276">
        <v>4</v>
      </c>
      <c r="E276">
        <v>88.5</v>
      </c>
      <c r="F276">
        <v>151.4</v>
      </c>
      <c r="G276" t="s">
        <v>420</v>
      </c>
      <c r="H276">
        <v>1</v>
      </c>
      <c r="I276">
        <v>0</v>
      </c>
    </row>
    <row r="277" spans="1:9">
      <c r="A277" t="s">
        <v>423</v>
      </c>
      <c r="B277">
        <v>25</v>
      </c>
      <c r="C277">
        <v>0</v>
      </c>
      <c r="D277">
        <v>3</v>
      </c>
      <c r="E277">
        <v>92</v>
      </c>
      <c r="F277">
        <v>364.8</v>
      </c>
      <c r="G277" t="s">
        <v>422</v>
      </c>
      <c r="H277">
        <v>3</v>
      </c>
      <c r="I277">
        <v>4</v>
      </c>
    </row>
    <row r="278" spans="1:9">
      <c r="A278" t="s">
        <v>421</v>
      </c>
      <c r="B278">
        <v>25</v>
      </c>
      <c r="C278">
        <v>1</v>
      </c>
      <c r="D278">
        <v>3</v>
      </c>
      <c r="E278">
        <v>131.6</v>
      </c>
      <c r="F278">
        <v>81.8</v>
      </c>
      <c r="G278" t="s">
        <v>422</v>
      </c>
      <c r="H278">
        <v>5</v>
      </c>
      <c r="I278">
        <v>4</v>
      </c>
    </row>
    <row r="279" spans="1:9">
      <c r="A279" t="s">
        <v>421</v>
      </c>
      <c r="B279">
        <v>38</v>
      </c>
      <c r="C279">
        <v>2</v>
      </c>
      <c r="D279">
        <v>3</v>
      </c>
      <c r="E279">
        <v>115.3</v>
      </c>
      <c r="F279">
        <v>43.8</v>
      </c>
      <c r="G279" t="s">
        <v>422</v>
      </c>
      <c r="H279">
        <v>3</v>
      </c>
      <c r="I279">
        <v>7</v>
      </c>
    </row>
    <row r="280" spans="1:9">
      <c r="A280" t="s">
        <v>423</v>
      </c>
      <c r="B280">
        <v>23</v>
      </c>
      <c r="C280">
        <v>1</v>
      </c>
      <c r="D280">
        <v>6</v>
      </c>
      <c r="E280">
        <v>59.2</v>
      </c>
      <c r="F280">
        <v>72.2</v>
      </c>
      <c r="G280" t="s">
        <v>422</v>
      </c>
      <c r="H280">
        <v>4</v>
      </c>
      <c r="I280">
        <v>4</v>
      </c>
    </row>
    <row r="281" spans="1:9">
      <c r="A281" t="s">
        <v>419</v>
      </c>
      <c r="B281">
        <v>28</v>
      </c>
      <c r="C281">
        <v>2</v>
      </c>
      <c r="D281">
        <v>2</v>
      </c>
      <c r="E281">
        <v>66.3</v>
      </c>
      <c r="F281">
        <v>233.9</v>
      </c>
      <c r="G281" t="s">
        <v>422</v>
      </c>
      <c r="H281">
        <v>6</v>
      </c>
      <c r="I281">
        <v>7</v>
      </c>
    </row>
    <row r="282" spans="1:9">
      <c r="A282" t="s">
        <v>423</v>
      </c>
      <c r="B282">
        <v>37</v>
      </c>
      <c r="C282">
        <v>4</v>
      </c>
      <c r="D282">
        <v>5</v>
      </c>
      <c r="E282">
        <v>35.9</v>
      </c>
      <c r="F282">
        <v>89.59999999999999</v>
      </c>
      <c r="G282" t="s">
        <v>420</v>
      </c>
      <c r="H282">
        <v>6</v>
      </c>
      <c r="I282">
        <v>3</v>
      </c>
    </row>
    <row r="283" spans="1:9">
      <c r="A283" t="s">
        <v>421</v>
      </c>
      <c r="B283">
        <v>30</v>
      </c>
      <c r="C283">
        <v>2</v>
      </c>
      <c r="D283">
        <v>1</v>
      </c>
      <c r="E283">
        <v>77.40000000000001</v>
      </c>
      <c r="F283">
        <v>94.7</v>
      </c>
      <c r="G283" t="s">
        <v>420</v>
      </c>
      <c r="H283">
        <v>2</v>
      </c>
      <c r="I283">
        <v>8</v>
      </c>
    </row>
    <row r="284" spans="1:9">
      <c r="A284" t="s">
        <v>421</v>
      </c>
      <c r="B284">
        <v>37</v>
      </c>
      <c r="C284">
        <v>2</v>
      </c>
      <c r="D284">
        <v>1</v>
      </c>
      <c r="E284">
        <v>95.8</v>
      </c>
      <c r="F284">
        <v>28.3</v>
      </c>
      <c r="G284" t="s">
        <v>422</v>
      </c>
      <c r="H284">
        <v>3</v>
      </c>
      <c r="I284">
        <v>6</v>
      </c>
    </row>
    <row r="285" spans="1:9">
      <c r="A285" t="s">
        <v>423</v>
      </c>
      <c r="B285">
        <v>28</v>
      </c>
      <c r="C285">
        <v>3</v>
      </c>
      <c r="D285">
        <v>2</v>
      </c>
      <c r="E285">
        <v>90.5</v>
      </c>
      <c r="F285">
        <v>141</v>
      </c>
      <c r="G285" t="s">
        <v>422</v>
      </c>
      <c r="H285">
        <v>2</v>
      </c>
      <c r="I285">
        <v>4</v>
      </c>
    </row>
    <row r="286" spans="1:9">
      <c r="A286" t="s">
        <v>419</v>
      </c>
      <c r="B286">
        <v>27</v>
      </c>
      <c r="C286">
        <v>3</v>
      </c>
      <c r="D286">
        <v>4</v>
      </c>
      <c r="E286">
        <v>100.7</v>
      </c>
      <c r="F286">
        <v>248.9</v>
      </c>
      <c r="G286" t="s">
        <v>422</v>
      </c>
      <c r="H286">
        <v>3</v>
      </c>
      <c r="I286">
        <v>6</v>
      </c>
    </row>
    <row r="287" spans="1:9">
      <c r="A287" t="s">
        <v>421</v>
      </c>
      <c r="B287">
        <v>27</v>
      </c>
      <c r="C287">
        <v>2</v>
      </c>
      <c r="D287">
        <v>5</v>
      </c>
      <c r="E287">
        <v>113</v>
      </c>
      <c r="F287">
        <v>306.3</v>
      </c>
      <c r="G287" t="s">
        <v>422</v>
      </c>
      <c r="H287">
        <v>4</v>
      </c>
      <c r="I287">
        <v>2</v>
      </c>
    </row>
    <row r="288" spans="1:9">
      <c r="A288" t="s">
        <v>419</v>
      </c>
      <c r="B288">
        <v>38</v>
      </c>
      <c r="C288">
        <v>4</v>
      </c>
      <c r="D288">
        <v>1</v>
      </c>
      <c r="E288">
        <v>84.2</v>
      </c>
      <c r="F288">
        <v>266.2</v>
      </c>
      <c r="G288" t="s">
        <v>422</v>
      </c>
      <c r="H288">
        <v>4</v>
      </c>
      <c r="I288">
        <v>2</v>
      </c>
    </row>
    <row r="289" spans="1:9">
      <c r="A289" t="s">
        <v>419</v>
      </c>
      <c r="B289">
        <v>56</v>
      </c>
      <c r="C289">
        <v>3</v>
      </c>
      <c r="D289">
        <v>2</v>
      </c>
      <c r="E289">
        <v>113.5</v>
      </c>
      <c r="F289">
        <v>175.3</v>
      </c>
      <c r="G289" t="s">
        <v>422</v>
      </c>
      <c r="H289">
        <v>5</v>
      </c>
      <c r="I289">
        <v>6</v>
      </c>
    </row>
    <row r="290" spans="1:9">
      <c r="A290" t="s">
        <v>421</v>
      </c>
      <c r="B290">
        <v>40</v>
      </c>
      <c r="C290">
        <v>2</v>
      </c>
      <c r="D290">
        <v>5</v>
      </c>
      <c r="E290">
        <v>32.3</v>
      </c>
      <c r="F290">
        <v>15.3</v>
      </c>
      <c r="G290" t="s">
        <v>422</v>
      </c>
      <c r="H290">
        <v>4</v>
      </c>
      <c r="I290">
        <v>5</v>
      </c>
    </row>
    <row r="291" spans="1:9">
      <c r="A291" t="s">
        <v>423</v>
      </c>
      <c r="B291">
        <v>37</v>
      </c>
      <c r="C291">
        <v>2</v>
      </c>
      <c r="D291">
        <v>3</v>
      </c>
      <c r="E291">
        <v>135.3</v>
      </c>
      <c r="F291">
        <v>202.3</v>
      </c>
      <c r="G291" t="s">
        <v>422</v>
      </c>
      <c r="H291">
        <v>6</v>
      </c>
      <c r="I291">
        <v>6</v>
      </c>
    </row>
    <row r="292" spans="1:9">
      <c r="A292" t="s">
        <v>423</v>
      </c>
      <c r="B292">
        <v>25</v>
      </c>
      <c r="C292">
        <v>1</v>
      </c>
      <c r="D292">
        <v>3</v>
      </c>
      <c r="E292">
        <v>120.4</v>
      </c>
      <c r="F292">
        <v>215.3</v>
      </c>
      <c r="G292" t="s">
        <v>422</v>
      </c>
      <c r="H292">
        <v>3</v>
      </c>
      <c r="I292">
        <v>3</v>
      </c>
    </row>
    <row r="293" spans="1:9">
      <c r="A293" t="s">
        <v>421</v>
      </c>
      <c r="B293">
        <v>40</v>
      </c>
      <c r="C293">
        <v>3</v>
      </c>
      <c r="D293">
        <v>4</v>
      </c>
      <c r="E293">
        <v>88.40000000000001</v>
      </c>
      <c r="F293">
        <v>75.59999999999999</v>
      </c>
      <c r="G293" t="s">
        <v>420</v>
      </c>
      <c r="H293">
        <v>4</v>
      </c>
      <c r="I293">
        <v>7</v>
      </c>
    </row>
    <row r="294" spans="1:9">
      <c r="A294" t="s">
        <v>423</v>
      </c>
      <c r="B294">
        <v>38</v>
      </c>
      <c r="C294">
        <v>4</v>
      </c>
      <c r="D294">
        <v>1</v>
      </c>
      <c r="E294">
        <v>100.7</v>
      </c>
      <c r="F294">
        <v>102</v>
      </c>
      <c r="G294" t="s">
        <v>420</v>
      </c>
      <c r="H294">
        <v>2</v>
      </c>
      <c r="I294">
        <v>4</v>
      </c>
    </row>
    <row r="295" spans="1:9">
      <c r="A295" t="s">
        <v>419</v>
      </c>
      <c r="B295">
        <v>42</v>
      </c>
      <c r="C295">
        <v>3</v>
      </c>
      <c r="D295">
        <v>5</v>
      </c>
      <c r="E295">
        <v>118.3</v>
      </c>
      <c r="F295">
        <v>277</v>
      </c>
      <c r="G295" t="s">
        <v>420</v>
      </c>
      <c r="H295">
        <v>6</v>
      </c>
      <c r="I295">
        <v>8</v>
      </c>
    </row>
    <row r="296" spans="1:9">
      <c r="A296" t="s">
        <v>423</v>
      </c>
      <c r="B296">
        <v>24</v>
      </c>
      <c r="C296">
        <v>1</v>
      </c>
      <c r="D296">
        <v>5</v>
      </c>
      <c r="E296">
        <v>115.9</v>
      </c>
      <c r="F296">
        <v>148.6</v>
      </c>
      <c r="G296" t="s">
        <v>422</v>
      </c>
      <c r="H296">
        <v>3</v>
      </c>
      <c r="I296">
        <v>2</v>
      </c>
    </row>
    <row r="297" spans="1:9">
      <c r="A297" t="s">
        <v>419</v>
      </c>
      <c r="B297">
        <v>34</v>
      </c>
      <c r="C297">
        <v>2</v>
      </c>
      <c r="D297">
        <v>5</v>
      </c>
      <c r="E297">
        <v>84</v>
      </c>
      <c r="F297">
        <v>137.3</v>
      </c>
      <c r="G297" t="s">
        <v>422</v>
      </c>
      <c r="H297">
        <v>4</v>
      </c>
      <c r="I297">
        <v>5</v>
      </c>
    </row>
    <row r="298" spans="1:9">
      <c r="A298" t="s">
        <v>419</v>
      </c>
      <c r="B298">
        <v>35</v>
      </c>
      <c r="C298">
        <v>1</v>
      </c>
      <c r="D298">
        <v>1</v>
      </c>
      <c r="E298">
        <v>46.9</v>
      </c>
      <c r="F298">
        <v>44.7</v>
      </c>
      <c r="G298" t="s">
        <v>422</v>
      </c>
      <c r="H298">
        <v>3</v>
      </c>
      <c r="I298">
        <v>5</v>
      </c>
    </row>
    <row r="299" spans="1:9">
      <c r="A299" t="s">
        <v>423</v>
      </c>
      <c r="B299">
        <v>47</v>
      </c>
      <c r="C299">
        <v>2</v>
      </c>
      <c r="D299">
        <v>2</v>
      </c>
      <c r="E299">
        <v>103.7</v>
      </c>
      <c r="F299">
        <v>78.2</v>
      </c>
      <c r="G299" t="s">
        <v>420</v>
      </c>
      <c r="H299">
        <v>3</v>
      </c>
      <c r="I299">
        <v>2</v>
      </c>
    </row>
    <row r="300" spans="1:9">
      <c r="A300" t="s">
        <v>421</v>
      </c>
      <c r="B300">
        <v>29</v>
      </c>
      <c r="C300">
        <v>3</v>
      </c>
      <c r="D300">
        <v>2</v>
      </c>
      <c r="E300">
        <v>43.1</v>
      </c>
      <c r="F300">
        <v>378.7</v>
      </c>
      <c r="G300" t="s">
        <v>420</v>
      </c>
      <c r="H300">
        <v>5</v>
      </c>
      <c r="I300">
        <v>7</v>
      </c>
    </row>
    <row r="301" spans="1:9">
      <c r="A301" t="s">
        <v>419</v>
      </c>
      <c r="B301">
        <v>32</v>
      </c>
      <c r="C301">
        <v>3</v>
      </c>
      <c r="D301">
        <v>1</v>
      </c>
      <c r="E301">
        <v>41.2</v>
      </c>
      <c r="F301">
        <v>221</v>
      </c>
      <c r="G301" t="s">
        <v>422</v>
      </c>
      <c r="H301">
        <v>4</v>
      </c>
      <c r="I301">
        <v>6</v>
      </c>
    </row>
    <row r="302" spans="1:9">
      <c r="A302" t="s">
        <v>421</v>
      </c>
      <c r="B302">
        <v>27</v>
      </c>
      <c r="C302">
        <v>4</v>
      </c>
      <c r="D302">
        <v>6</v>
      </c>
      <c r="E302">
        <v>102.7</v>
      </c>
      <c r="F302">
        <v>46.6</v>
      </c>
      <c r="G302" t="s">
        <v>422</v>
      </c>
      <c r="H302">
        <v>1</v>
      </c>
      <c r="I302">
        <v>1</v>
      </c>
    </row>
    <row r="303" spans="1:9">
      <c r="A303" t="s">
        <v>421</v>
      </c>
      <c r="B303">
        <v>33</v>
      </c>
      <c r="C303">
        <v>4</v>
      </c>
      <c r="D303">
        <v>4</v>
      </c>
      <c r="E303">
        <v>81.40000000000001</v>
      </c>
      <c r="F303">
        <v>63.4</v>
      </c>
      <c r="G303" t="s">
        <v>422</v>
      </c>
      <c r="H303">
        <v>2</v>
      </c>
      <c r="I303">
        <v>7</v>
      </c>
    </row>
    <row r="304" spans="1:9">
      <c r="A304" t="s">
        <v>423</v>
      </c>
      <c r="B304">
        <v>37</v>
      </c>
      <c r="C304">
        <v>2</v>
      </c>
      <c r="D304">
        <v>4</v>
      </c>
      <c r="E304">
        <v>48.2</v>
      </c>
      <c r="F304">
        <v>60.6</v>
      </c>
      <c r="G304" t="s">
        <v>420</v>
      </c>
      <c r="H304">
        <v>0</v>
      </c>
      <c r="I304">
        <v>1</v>
      </c>
    </row>
    <row r="305" spans="1:9">
      <c r="A305" t="s">
        <v>423</v>
      </c>
      <c r="B305">
        <v>26</v>
      </c>
      <c r="C305">
        <v>2</v>
      </c>
      <c r="D305">
        <v>2</v>
      </c>
      <c r="E305">
        <v>33.8</v>
      </c>
      <c r="F305">
        <v>81.40000000000001</v>
      </c>
      <c r="G305" t="s">
        <v>422</v>
      </c>
      <c r="H305">
        <v>3</v>
      </c>
      <c r="I305">
        <v>3</v>
      </c>
    </row>
    <row r="306" spans="1:9">
      <c r="A306" t="s">
        <v>419</v>
      </c>
      <c r="B306">
        <v>24</v>
      </c>
      <c r="C306">
        <v>1</v>
      </c>
      <c r="D306">
        <v>4</v>
      </c>
      <c r="E306">
        <v>37</v>
      </c>
      <c r="F306">
        <v>52.7</v>
      </c>
      <c r="G306" t="s">
        <v>420</v>
      </c>
      <c r="H306">
        <v>3</v>
      </c>
      <c r="I306">
        <v>4</v>
      </c>
    </row>
    <row r="307" spans="1:9">
      <c r="A307" t="s">
        <v>421</v>
      </c>
      <c r="B307">
        <v>27</v>
      </c>
      <c r="C307">
        <v>1</v>
      </c>
      <c r="D307">
        <v>5</v>
      </c>
      <c r="E307">
        <v>99.40000000000001</v>
      </c>
      <c r="F307">
        <v>352.2</v>
      </c>
      <c r="G307" t="s">
        <v>420</v>
      </c>
      <c r="H307">
        <v>2</v>
      </c>
      <c r="I307">
        <v>3</v>
      </c>
    </row>
    <row r="308" spans="1:9">
      <c r="A308" t="s">
        <v>423</v>
      </c>
      <c r="B308">
        <v>26</v>
      </c>
      <c r="C308">
        <v>0</v>
      </c>
      <c r="D308">
        <v>2</v>
      </c>
      <c r="E308">
        <v>137</v>
      </c>
      <c r="F308">
        <v>384</v>
      </c>
      <c r="G308" t="s">
        <v>422</v>
      </c>
      <c r="H308">
        <v>3</v>
      </c>
      <c r="I308">
        <v>6</v>
      </c>
    </row>
    <row r="309" spans="1:9">
      <c r="A309" t="s">
        <v>419</v>
      </c>
      <c r="B309">
        <v>19</v>
      </c>
      <c r="C309">
        <v>0</v>
      </c>
      <c r="D309">
        <v>4</v>
      </c>
      <c r="E309">
        <v>66.90000000000001</v>
      </c>
      <c r="F309">
        <v>160.6</v>
      </c>
      <c r="G309" t="s">
        <v>420</v>
      </c>
      <c r="H309">
        <v>2</v>
      </c>
      <c r="I309">
        <v>6</v>
      </c>
    </row>
    <row r="310" spans="1:9">
      <c r="A310" t="s">
        <v>419</v>
      </c>
      <c r="B310">
        <v>38</v>
      </c>
      <c r="C310">
        <v>1</v>
      </c>
      <c r="D310">
        <v>2</v>
      </c>
      <c r="E310">
        <v>68.40000000000001</v>
      </c>
      <c r="F310">
        <v>298.3</v>
      </c>
      <c r="G310" t="s">
        <v>422</v>
      </c>
      <c r="H310">
        <v>1</v>
      </c>
      <c r="I310">
        <v>0</v>
      </c>
    </row>
    <row r="311" spans="1:9">
      <c r="A311" t="s">
        <v>421</v>
      </c>
      <c r="B311">
        <v>24</v>
      </c>
      <c r="C311">
        <v>1</v>
      </c>
      <c r="D311">
        <v>6</v>
      </c>
      <c r="E311">
        <v>79.40000000000001</v>
      </c>
      <c r="F311">
        <v>323.8</v>
      </c>
      <c r="G311" t="s">
        <v>422</v>
      </c>
      <c r="H311">
        <v>3</v>
      </c>
      <c r="I311">
        <v>4</v>
      </c>
    </row>
    <row r="312" spans="1:9">
      <c r="A312" t="s">
        <v>421</v>
      </c>
      <c r="B312">
        <v>23</v>
      </c>
      <c r="C312">
        <v>3</v>
      </c>
      <c r="D312">
        <v>4</v>
      </c>
      <c r="E312">
        <v>52.1</v>
      </c>
      <c r="F312">
        <v>93.7</v>
      </c>
      <c r="G312" t="s">
        <v>422</v>
      </c>
      <c r="H312">
        <v>0</v>
      </c>
      <c r="I312">
        <v>1</v>
      </c>
    </row>
    <row r="313" spans="1:9">
      <c r="A313" t="s">
        <v>421</v>
      </c>
      <c r="B313">
        <v>48</v>
      </c>
      <c r="C313">
        <v>4</v>
      </c>
      <c r="D313">
        <v>4</v>
      </c>
      <c r="E313">
        <v>68.7</v>
      </c>
      <c r="F313">
        <v>310.7</v>
      </c>
      <c r="G313" t="s">
        <v>422</v>
      </c>
      <c r="H313">
        <v>2</v>
      </c>
      <c r="I313">
        <v>4</v>
      </c>
    </row>
    <row r="314" spans="1:9">
      <c r="A314" t="s">
        <v>421</v>
      </c>
      <c r="B314">
        <v>33</v>
      </c>
      <c r="C314">
        <v>1</v>
      </c>
      <c r="D314">
        <v>4</v>
      </c>
      <c r="E314">
        <v>81.59999999999999</v>
      </c>
      <c r="F314">
        <v>127.2</v>
      </c>
      <c r="G314" t="s">
        <v>420</v>
      </c>
      <c r="H314">
        <v>0</v>
      </c>
      <c r="I314">
        <v>0</v>
      </c>
    </row>
    <row r="315" spans="1:9">
      <c r="A315" t="s">
        <v>421</v>
      </c>
      <c r="B315">
        <v>27</v>
      </c>
      <c r="C315">
        <v>4</v>
      </c>
      <c r="D315">
        <v>5</v>
      </c>
      <c r="E315">
        <v>118.5</v>
      </c>
      <c r="F315">
        <v>117.3</v>
      </c>
      <c r="G315" t="s">
        <v>420</v>
      </c>
      <c r="H315">
        <v>3</v>
      </c>
      <c r="I315">
        <v>7</v>
      </c>
    </row>
    <row r="316" spans="1:9">
      <c r="A316" t="s">
        <v>421</v>
      </c>
      <c r="B316">
        <v>45</v>
      </c>
      <c r="C316">
        <v>2</v>
      </c>
      <c r="D316">
        <v>3</v>
      </c>
      <c r="E316">
        <v>133.8</v>
      </c>
      <c r="F316">
        <v>337</v>
      </c>
      <c r="G316" t="s">
        <v>420</v>
      </c>
      <c r="H316">
        <v>0</v>
      </c>
      <c r="I316">
        <v>2</v>
      </c>
    </row>
    <row r="317" spans="1:9">
      <c r="A317" t="s">
        <v>421</v>
      </c>
      <c r="B317">
        <v>20</v>
      </c>
      <c r="C317">
        <v>3</v>
      </c>
      <c r="D317">
        <v>3</v>
      </c>
      <c r="E317">
        <v>62.3</v>
      </c>
      <c r="F317">
        <v>260.1</v>
      </c>
      <c r="G317" t="s">
        <v>420</v>
      </c>
      <c r="H317">
        <v>2</v>
      </c>
      <c r="I317">
        <v>2</v>
      </c>
    </row>
    <row r="318" spans="1:9">
      <c r="A318" t="s">
        <v>421</v>
      </c>
      <c r="B318">
        <v>28</v>
      </c>
      <c r="C318">
        <v>4</v>
      </c>
      <c r="D318">
        <v>4</v>
      </c>
      <c r="E318">
        <v>52.8</v>
      </c>
      <c r="F318">
        <v>129.7</v>
      </c>
      <c r="G318" t="s">
        <v>422</v>
      </c>
      <c r="H318">
        <v>2</v>
      </c>
      <c r="I318">
        <v>6</v>
      </c>
    </row>
    <row r="319" spans="1:9">
      <c r="A319" t="s">
        <v>421</v>
      </c>
      <c r="B319">
        <v>31</v>
      </c>
      <c r="C319">
        <v>3</v>
      </c>
      <c r="D319">
        <v>3</v>
      </c>
      <c r="E319">
        <v>46.5</v>
      </c>
      <c r="F319">
        <v>354.8</v>
      </c>
      <c r="G319" t="s">
        <v>422</v>
      </c>
      <c r="H319">
        <v>2</v>
      </c>
      <c r="I319">
        <v>8</v>
      </c>
    </row>
    <row r="320" spans="1:9">
      <c r="A320" t="s">
        <v>421</v>
      </c>
      <c r="B320">
        <v>23</v>
      </c>
      <c r="C320">
        <v>3</v>
      </c>
      <c r="D320">
        <v>5</v>
      </c>
      <c r="E320">
        <v>72.09999999999999</v>
      </c>
      <c r="F320">
        <v>350.5</v>
      </c>
      <c r="G320" t="s">
        <v>422</v>
      </c>
      <c r="H320">
        <v>0</v>
      </c>
      <c r="I320">
        <v>2</v>
      </c>
    </row>
    <row r="321" spans="1:9">
      <c r="A321" t="s">
        <v>421</v>
      </c>
      <c r="B321">
        <v>22</v>
      </c>
      <c r="C321">
        <v>1</v>
      </c>
      <c r="D321">
        <v>4</v>
      </c>
      <c r="E321">
        <v>39.1</v>
      </c>
      <c r="F321">
        <v>58.8</v>
      </c>
      <c r="G321" t="s">
        <v>420</v>
      </c>
      <c r="H321">
        <v>1</v>
      </c>
      <c r="I321">
        <v>1</v>
      </c>
    </row>
    <row r="322" spans="1:9">
      <c r="A322" t="s">
        <v>421</v>
      </c>
      <c r="B322">
        <v>27</v>
      </c>
      <c r="C322">
        <v>4</v>
      </c>
      <c r="D322">
        <v>4</v>
      </c>
      <c r="E322">
        <v>66.8</v>
      </c>
      <c r="F322">
        <v>143.5</v>
      </c>
      <c r="G322" t="s">
        <v>420</v>
      </c>
      <c r="H322">
        <v>2</v>
      </c>
      <c r="I322">
        <v>6</v>
      </c>
    </row>
    <row r="323" spans="1:9">
      <c r="A323" t="s">
        <v>421</v>
      </c>
      <c r="B323">
        <v>22</v>
      </c>
      <c r="C323">
        <v>1</v>
      </c>
      <c r="D323">
        <v>4</v>
      </c>
      <c r="E323">
        <v>46.2</v>
      </c>
      <c r="F323">
        <v>6.9</v>
      </c>
      <c r="G323" t="s">
        <v>420</v>
      </c>
      <c r="H323">
        <v>2</v>
      </c>
      <c r="I323">
        <v>6</v>
      </c>
    </row>
    <row r="324" spans="1:9">
      <c r="A324" t="s">
        <v>421</v>
      </c>
      <c r="B324">
        <v>35</v>
      </c>
      <c r="C324">
        <v>2</v>
      </c>
      <c r="D324">
        <v>3</v>
      </c>
      <c r="E324">
        <v>140.8</v>
      </c>
      <c r="F324">
        <v>69.59999999999999</v>
      </c>
      <c r="G324" t="s">
        <v>422</v>
      </c>
      <c r="H324">
        <v>2</v>
      </c>
      <c r="I324">
        <v>3</v>
      </c>
    </row>
    <row r="325" spans="1:9">
      <c r="A325" t="s">
        <v>421</v>
      </c>
      <c r="B325">
        <v>22</v>
      </c>
      <c r="C325">
        <v>0</v>
      </c>
      <c r="D325">
        <v>4</v>
      </c>
      <c r="E325">
        <v>90</v>
      </c>
      <c r="F325">
        <v>134.7</v>
      </c>
      <c r="G325" t="s">
        <v>420</v>
      </c>
      <c r="H325">
        <v>1</v>
      </c>
      <c r="I325">
        <v>1</v>
      </c>
    </row>
    <row r="326" spans="1:9">
      <c r="A326" t="s">
        <v>421</v>
      </c>
      <c r="B326">
        <v>30</v>
      </c>
      <c r="C326">
        <v>1</v>
      </c>
      <c r="D326">
        <v>4</v>
      </c>
      <c r="E326">
        <v>48.6</v>
      </c>
      <c r="F326">
        <v>77.8</v>
      </c>
      <c r="G326" t="s">
        <v>420</v>
      </c>
      <c r="H326">
        <v>2</v>
      </c>
      <c r="I326">
        <v>8</v>
      </c>
    </row>
    <row r="327" spans="1:9">
      <c r="A327" t="s">
        <v>421</v>
      </c>
      <c r="B327">
        <v>30</v>
      </c>
      <c r="C327">
        <v>2</v>
      </c>
      <c r="D327">
        <v>5</v>
      </c>
      <c r="E327">
        <v>49.3</v>
      </c>
      <c r="F327">
        <v>68.5</v>
      </c>
      <c r="G327" t="s">
        <v>420</v>
      </c>
      <c r="H327">
        <v>1</v>
      </c>
      <c r="I327">
        <v>1</v>
      </c>
    </row>
    <row r="328" spans="1:9">
      <c r="A328" t="s">
        <v>421</v>
      </c>
      <c r="B328">
        <v>16</v>
      </c>
      <c r="C328">
        <v>1</v>
      </c>
      <c r="D328">
        <v>6</v>
      </c>
      <c r="E328">
        <v>103.4</v>
      </c>
      <c r="F328">
        <v>70.8</v>
      </c>
      <c r="G328" t="s">
        <v>422</v>
      </c>
      <c r="H328">
        <v>1</v>
      </c>
      <c r="I328">
        <v>1</v>
      </c>
    </row>
    <row r="329" spans="1:9">
      <c r="A329" t="s">
        <v>421</v>
      </c>
      <c r="B329">
        <v>31</v>
      </c>
      <c r="C329">
        <v>2</v>
      </c>
      <c r="D329">
        <v>5</v>
      </c>
      <c r="E329">
        <v>45.7</v>
      </c>
      <c r="F329">
        <v>169.2</v>
      </c>
      <c r="G329" t="s">
        <v>422</v>
      </c>
      <c r="H329">
        <v>1</v>
      </c>
      <c r="I329">
        <v>0</v>
      </c>
    </row>
    <row r="330" spans="1:9">
      <c r="A330" t="s">
        <v>421</v>
      </c>
      <c r="B330">
        <v>20</v>
      </c>
      <c r="C330">
        <v>1</v>
      </c>
      <c r="D330">
        <v>3</v>
      </c>
      <c r="E330">
        <v>101.8</v>
      </c>
      <c r="F330">
        <v>21.9</v>
      </c>
      <c r="G330" t="s">
        <v>420</v>
      </c>
      <c r="H330">
        <v>0</v>
      </c>
      <c r="I330">
        <v>1</v>
      </c>
    </row>
    <row r="331" spans="1:9">
      <c r="A331" t="s">
        <v>421</v>
      </c>
      <c r="B331">
        <v>26</v>
      </c>
      <c r="C331">
        <v>0</v>
      </c>
      <c r="D331">
        <v>2</v>
      </c>
      <c r="E331">
        <v>129.6</v>
      </c>
      <c r="F331">
        <v>399.1</v>
      </c>
      <c r="G331" t="s">
        <v>422</v>
      </c>
      <c r="H331">
        <v>2</v>
      </c>
      <c r="I331">
        <v>8</v>
      </c>
    </row>
    <row r="332" spans="1:9">
      <c r="A332" t="s">
        <v>421</v>
      </c>
      <c r="B332">
        <v>32</v>
      </c>
      <c r="C332">
        <v>2</v>
      </c>
      <c r="D332">
        <v>3</v>
      </c>
      <c r="E332">
        <v>64</v>
      </c>
      <c r="F332">
        <v>287.5</v>
      </c>
      <c r="G332" t="s">
        <v>422</v>
      </c>
      <c r="H332">
        <v>3</v>
      </c>
      <c r="I332">
        <v>7</v>
      </c>
    </row>
    <row r="333" spans="1:9">
      <c r="A333" t="s">
        <v>421</v>
      </c>
      <c r="B333">
        <v>32</v>
      </c>
      <c r="C333">
        <v>2</v>
      </c>
      <c r="D333">
        <v>3</v>
      </c>
      <c r="E333">
        <v>80.90000000000001</v>
      </c>
      <c r="F333">
        <v>336.4</v>
      </c>
      <c r="G333" t="s">
        <v>422</v>
      </c>
      <c r="H333">
        <v>0</v>
      </c>
      <c r="I333">
        <v>0</v>
      </c>
    </row>
    <row r="334" spans="1:9">
      <c r="A334" t="s">
        <v>419</v>
      </c>
      <c r="B334">
        <v>30</v>
      </c>
      <c r="C334">
        <v>2</v>
      </c>
      <c r="D334">
        <v>5</v>
      </c>
      <c r="E334">
        <v>96.8</v>
      </c>
      <c r="F334">
        <v>262</v>
      </c>
      <c r="G334" t="s">
        <v>420</v>
      </c>
      <c r="H334">
        <v>3</v>
      </c>
      <c r="I334">
        <v>5</v>
      </c>
    </row>
    <row r="335" spans="1:9">
      <c r="A335" t="s">
        <v>419</v>
      </c>
      <c r="B335">
        <v>43</v>
      </c>
      <c r="C335">
        <v>3</v>
      </c>
      <c r="D335">
        <v>1</v>
      </c>
      <c r="E335">
        <v>76.59999999999999</v>
      </c>
      <c r="F335">
        <v>62.1</v>
      </c>
      <c r="G335" t="s">
        <v>422</v>
      </c>
      <c r="H335">
        <v>3</v>
      </c>
      <c r="I335">
        <v>7</v>
      </c>
    </row>
    <row r="336" spans="1:9">
      <c r="A336" t="s">
        <v>421</v>
      </c>
      <c r="B336">
        <v>21</v>
      </c>
      <c r="C336">
        <v>0</v>
      </c>
      <c r="D336">
        <v>4</v>
      </c>
      <c r="E336">
        <v>81.59999999999999</v>
      </c>
      <c r="F336">
        <v>26.7</v>
      </c>
      <c r="G336" t="s">
        <v>422</v>
      </c>
      <c r="H336">
        <v>1</v>
      </c>
      <c r="I336">
        <v>0</v>
      </c>
    </row>
    <row r="337" spans="1:9">
      <c r="A337" t="s">
        <v>419</v>
      </c>
      <c r="B337">
        <v>28</v>
      </c>
      <c r="C337">
        <v>1</v>
      </c>
      <c r="D337">
        <v>1</v>
      </c>
      <c r="E337">
        <v>137.7</v>
      </c>
      <c r="F337">
        <v>47.1</v>
      </c>
      <c r="G337" t="s">
        <v>420</v>
      </c>
      <c r="H337">
        <v>1</v>
      </c>
      <c r="I337">
        <v>1</v>
      </c>
    </row>
    <row r="338" spans="1:9">
      <c r="A338" t="s">
        <v>419</v>
      </c>
      <c r="B338">
        <v>27</v>
      </c>
      <c r="C338">
        <v>0</v>
      </c>
      <c r="D338">
        <v>4</v>
      </c>
      <c r="E338">
        <v>74.5</v>
      </c>
      <c r="F338">
        <v>65.90000000000001</v>
      </c>
      <c r="G338" t="s">
        <v>420</v>
      </c>
      <c r="H338">
        <v>2</v>
      </c>
      <c r="I338">
        <v>2</v>
      </c>
    </row>
    <row r="339" spans="1:9">
      <c r="A339" t="s">
        <v>419</v>
      </c>
      <c r="B339">
        <v>23</v>
      </c>
      <c r="C339">
        <v>0</v>
      </c>
      <c r="D339">
        <v>4</v>
      </c>
      <c r="E339">
        <v>96.3</v>
      </c>
      <c r="F339">
        <v>148.7</v>
      </c>
      <c r="G339" t="s">
        <v>422</v>
      </c>
      <c r="H339">
        <v>0</v>
      </c>
      <c r="I339">
        <v>0</v>
      </c>
    </row>
    <row r="340" spans="1:9">
      <c r="A340" t="s">
        <v>423</v>
      </c>
      <c r="B340">
        <v>26</v>
      </c>
      <c r="C340">
        <v>3</v>
      </c>
      <c r="D340">
        <v>4</v>
      </c>
      <c r="E340">
        <v>85.8</v>
      </c>
      <c r="F340">
        <v>261.3</v>
      </c>
      <c r="G340" t="s">
        <v>422</v>
      </c>
      <c r="H340">
        <v>1</v>
      </c>
      <c r="I340">
        <v>0</v>
      </c>
    </row>
    <row r="341" spans="1:9">
      <c r="A341" t="s">
        <v>419</v>
      </c>
      <c r="B341">
        <v>20</v>
      </c>
      <c r="C341">
        <v>1</v>
      </c>
      <c r="D341">
        <v>3</v>
      </c>
      <c r="E341">
        <v>32.8</v>
      </c>
      <c r="F341">
        <v>256.6</v>
      </c>
      <c r="G341" t="s">
        <v>422</v>
      </c>
      <c r="H341">
        <v>0</v>
      </c>
      <c r="I341">
        <v>1</v>
      </c>
    </row>
    <row r="342" spans="1:9">
      <c r="A342" t="s">
        <v>419</v>
      </c>
      <c r="B342">
        <v>28</v>
      </c>
      <c r="C342">
        <v>2</v>
      </c>
      <c r="D342">
        <v>3</v>
      </c>
      <c r="E342">
        <v>72.3</v>
      </c>
      <c r="F342">
        <v>275.5</v>
      </c>
      <c r="G342" t="s">
        <v>422</v>
      </c>
      <c r="H342">
        <v>8</v>
      </c>
      <c r="I342">
        <v>2</v>
      </c>
    </row>
    <row r="343" spans="1:9">
      <c r="A343" t="s">
        <v>421</v>
      </c>
      <c r="B343">
        <v>34</v>
      </c>
      <c r="C343">
        <v>1</v>
      </c>
      <c r="D343">
        <v>2</v>
      </c>
      <c r="E343">
        <v>65.7</v>
      </c>
      <c r="F343">
        <v>386.7</v>
      </c>
      <c r="G343" t="s">
        <v>422</v>
      </c>
      <c r="H343">
        <v>8</v>
      </c>
      <c r="I343">
        <v>7</v>
      </c>
    </row>
    <row r="344" spans="1:9">
      <c r="A344" t="s">
        <v>419</v>
      </c>
      <c r="B344">
        <v>50</v>
      </c>
      <c r="C344">
        <v>4</v>
      </c>
      <c r="D344">
        <v>3</v>
      </c>
      <c r="E344">
        <v>42.6</v>
      </c>
      <c r="F344">
        <v>89.09999999999999</v>
      </c>
      <c r="G344" t="s">
        <v>422</v>
      </c>
      <c r="H344">
        <v>20</v>
      </c>
      <c r="I344">
        <v>20</v>
      </c>
    </row>
    <row r="345" spans="1:9">
      <c r="A345" t="s">
        <v>419</v>
      </c>
      <c r="B345">
        <v>36</v>
      </c>
      <c r="C345">
        <v>1</v>
      </c>
      <c r="D345">
        <v>2</v>
      </c>
      <c r="E345">
        <v>98.3</v>
      </c>
      <c r="F345">
        <v>344.6</v>
      </c>
      <c r="G345" t="s">
        <v>422</v>
      </c>
      <c r="H345">
        <v>10</v>
      </c>
      <c r="I345">
        <v>6</v>
      </c>
    </row>
    <row r="346" spans="1:9">
      <c r="A346" t="s">
        <v>421</v>
      </c>
      <c r="B346">
        <v>20</v>
      </c>
      <c r="C346">
        <v>0</v>
      </c>
      <c r="D346">
        <v>3</v>
      </c>
      <c r="E346">
        <v>111.9</v>
      </c>
      <c r="F346">
        <v>30.8</v>
      </c>
      <c r="G346" t="s">
        <v>420</v>
      </c>
      <c r="H346">
        <v>1</v>
      </c>
      <c r="I346">
        <v>1</v>
      </c>
    </row>
    <row r="347" spans="1:9">
      <c r="A347" t="s">
        <v>423</v>
      </c>
      <c r="B347">
        <v>50</v>
      </c>
      <c r="C347">
        <v>0</v>
      </c>
      <c r="D347">
        <v>2</v>
      </c>
      <c r="E347">
        <v>79.59999999999999</v>
      </c>
      <c r="F347">
        <v>394.8</v>
      </c>
      <c r="G347" t="s">
        <v>422</v>
      </c>
      <c r="H347">
        <v>12</v>
      </c>
      <c r="I347">
        <v>13</v>
      </c>
    </row>
    <row r="348" spans="1:9">
      <c r="A348" t="s">
        <v>423</v>
      </c>
      <c r="B348">
        <v>33</v>
      </c>
      <c r="C348">
        <v>3</v>
      </c>
      <c r="D348">
        <v>3</v>
      </c>
      <c r="E348">
        <v>120.2</v>
      </c>
      <c r="F348">
        <v>77</v>
      </c>
      <c r="G348" t="s">
        <v>422</v>
      </c>
      <c r="H348">
        <v>7</v>
      </c>
      <c r="I348">
        <v>6</v>
      </c>
    </row>
    <row r="349" spans="1:9">
      <c r="A349" t="s">
        <v>421</v>
      </c>
      <c r="B349">
        <v>38</v>
      </c>
      <c r="C349">
        <v>2</v>
      </c>
      <c r="D349">
        <v>2</v>
      </c>
      <c r="E349">
        <v>74.3</v>
      </c>
      <c r="F349">
        <v>55.8</v>
      </c>
      <c r="G349" t="s">
        <v>420</v>
      </c>
      <c r="H349">
        <v>13</v>
      </c>
      <c r="I349">
        <v>16</v>
      </c>
    </row>
    <row r="350" spans="1:9">
      <c r="A350" t="s">
        <v>419</v>
      </c>
      <c r="B350">
        <v>33</v>
      </c>
      <c r="C350">
        <v>4</v>
      </c>
      <c r="D350">
        <v>6</v>
      </c>
      <c r="E350">
        <v>111.3</v>
      </c>
      <c r="F350">
        <v>310.2</v>
      </c>
      <c r="G350" t="s">
        <v>422</v>
      </c>
      <c r="H350">
        <v>15</v>
      </c>
      <c r="I350">
        <v>11</v>
      </c>
    </row>
    <row r="351" spans="1:9">
      <c r="A351" t="s">
        <v>423</v>
      </c>
      <c r="B351">
        <v>59</v>
      </c>
      <c r="C351">
        <v>1</v>
      </c>
      <c r="D351">
        <v>2</v>
      </c>
      <c r="E351">
        <v>119.1</v>
      </c>
      <c r="F351">
        <v>143.3</v>
      </c>
      <c r="G351" t="s">
        <v>422</v>
      </c>
      <c r="H351">
        <v>12</v>
      </c>
      <c r="I351">
        <v>14</v>
      </c>
    </row>
    <row r="352" spans="1:9">
      <c r="A352" t="s">
        <v>419</v>
      </c>
      <c r="B352">
        <v>45</v>
      </c>
      <c r="C352">
        <v>1</v>
      </c>
      <c r="D352">
        <v>2</v>
      </c>
      <c r="E352">
        <v>117.9</v>
      </c>
      <c r="F352">
        <v>178.3</v>
      </c>
      <c r="G352" t="s">
        <v>420</v>
      </c>
      <c r="H352">
        <v>9</v>
      </c>
      <c r="I352">
        <v>4</v>
      </c>
    </row>
    <row r="353" spans="1:9">
      <c r="A353" t="s">
        <v>421</v>
      </c>
      <c r="B353">
        <v>37</v>
      </c>
      <c r="C353">
        <v>3</v>
      </c>
      <c r="D353">
        <v>2</v>
      </c>
      <c r="E353">
        <v>43.4</v>
      </c>
      <c r="F353">
        <v>48.2</v>
      </c>
      <c r="G353" t="s">
        <v>420</v>
      </c>
      <c r="H353">
        <v>12</v>
      </c>
      <c r="I353">
        <v>19</v>
      </c>
    </row>
    <row r="354" spans="1:9">
      <c r="A354" t="s">
        <v>423</v>
      </c>
      <c r="B354">
        <v>58</v>
      </c>
      <c r="C354">
        <v>2</v>
      </c>
      <c r="D354">
        <v>4</v>
      </c>
      <c r="E354">
        <v>83.90000000000001</v>
      </c>
      <c r="F354">
        <v>328.4</v>
      </c>
      <c r="G354" t="s">
        <v>420</v>
      </c>
      <c r="H354">
        <v>13</v>
      </c>
      <c r="I354">
        <v>17</v>
      </c>
    </row>
    <row r="355" spans="1:9">
      <c r="A355" t="s">
        <v>419</v>
      </c>
      <c r="B355">
        <v>42</v>
      </c>
      <c r="C355">
        <v>2</v>
      </c>
      <c r="D355">
        <v>4</v>
      </c>
      <c r="E355">
        <v>90.09999999999999</v>
      </c>
      <c r="F355">
        <v>257.8</v>
      </c>
      <c r="G355" t="s">
        <v>422</v>
      </c>
      <c r="H355">
        <v>7</v>
      </c>
      <c r="I355">
        <v>7</v>
      </c>
    </row>
    <row r="356" spans="1:9">
      <c r="A356" t="s">
        <v>423</v>
      </c>
      <c r="B356">
        <v>38</v>
      </c>
      <c r="C356">
        <v>4</v>
      </c>
      <c r="D356">
        <v>3</v>
      </c>
      <c r="E356">
        <v>38</v>
      </c>
      <c r="F356">
        <v>82</v>
      </c>
      <c r="G356" t="s">
        <v>420</v>
      </c>
      <c r="H356">
        <v>17</v>
      </c>
      <c r="I356">
        <v>19</v>
      </c>
    </row>
    <row r="357" spans="1:9">
      <c r="A357" t="s">
        <v>423</v>
      </c>
      <c r="B357">
        <v>46</v>
      </c>
      <c r="C357">
        <v>4</v>
      </c>
      <c r="D357">
        <v>3</v>
      </c>
      <c r="E357">
        <v>40.4</v>
      </c>
      <c r="F357">
        <v>166.7</v>
      </c>
      <c r="G357" t="s">
        <v>420</v>
      </c>
      <c r="H357">
        <v>9</v>
      </c>
      <c r="I357">
        <v>5</v>
      </c>
    </row>
    <row r="358" spans="1:9">
      <c r="A358" t="s">
        <v>421</v>
      </c>
      <c r="B358">
        <v>35</v>
      </c>
      <c r="C358">
        <v>3</v>
      </c>
      <c r="D358">
        <v>4</v>
      </c>
      <c r="E358">
        <v>130</v>
      </c>
      <c r="F358">
        <v>344.4</v>
      </c>
      <c r="G358" t="s">
        <v>420</v>
      </c>
      <c r="H358">
        <v>7</v>
      </c>
      <c r="I358">
        <v>5</v>
      </c>
    </row>
    <row r="359" spans="1:9">
      <c r="A359" t="s">
        <v>423</v>
      </c>
      <c r="B359">
        <v>28</v>
      </c>
      <c r="C359">
        <v>4</v>
      </c>
      <c r="D359">
        <v>2</v>
      </c>
      <c r="E359">
        <v>110.9</v>
      </c>
      <c r="F359">
        <v>23.8</v>
      </c>
      <c r="G359" t="s">
        <v>420</v>
      </c>
      <c r="H359">
        <v>9</v>
      </c>
      <c r="I359">
        <v>3</v>
      </c>
    </row>
    <row r="360" spans="1:9">
      <c r="A360" t="s">
        <v>419</v>
      </c>
      <c r="B360">
        <v>33</v>
      </c>
      <c r="C360">
        <v>0</v>
      </c>
      <c r="D360">
        <v>1</v>
      </c>
      <c r="E360">
        <v>127.6</v>
      </c>
      <c r="F360">
        <v>164.6</v>
      </c>
      <c r="G360" t="s">
        <v>420</v>
      </c>
      <c r="H360">
        <v>10</v>
      </c>
      <c r="I360">
        <v>7</v>
      </c>
    </row>
    <row r="361" spans="1:9">
      <c r="A361" t="s">
        <v>419</v>
      </c>
      <c r="B361">
        <v>28</v>
      </c>
      <c r="C361">
        <v>4</v>
      </c>
      <c r="D361">
        <v>3</v>
      </c>
      <c r="E361">
        <v>46.7</v>
      </c>
      <c r="F361">
        <v>314.3</v>
      </c>
      <c r="G361" t="s">
        <v>422</v>
      </c>
      <c r="H361">
        <v>9</v>
      </c>
      <c r="I361">
        <v>6</v>
      </c>
    </row>
    <row r="362" spans="1:9">
      <c r="A362" t="s">
        <v>423</v>
      </c>
      <c r="B362">
        <v>21</v>
      </c>
      <c r="C362">
        <v>3</v>
      </c>
      <c r="D362">
        <v>3</v>
      </c>
      <c r="E362">
        <v>65.09999999999999</v>
      </c>
      <c r="F362">
        <v>103.4</v>
      </c>
      <c r="G362" t="s">
        <v>420</v>
      </c>
      <c r="H362">
        <v>2</v>
      </c>
      <c r="I362">
        <v>8</v>
      </c>
    </row>
    <row r="363" spans="1:9">
      <c r="A363" t="s">
        <v>421</v>
      </c>
      <c r="B363">
        <v>37</v>
      </c>
      <c r="C363">
        <v>1</v>
      </c>
      <c r="D363">
        <v>3</v>
      </c>
      <c r="E363">
        <v>131.1</v>
      </c>
      <c r="F363">
        <v>113.5</v>
      </c>
      <c r="G363" t="s">
        <v>420</v>
      </c>
      <c r="H363">
        <v>10</v>
      </c>
      <c r="I363">
        <v>4</v>
      </c>
    </row>
    <row r="364" spans="1:9">
      <c r="A364" t="s">
        <v>419</v>
      </c>
      <c r="B364">
        <v>24</v>
      </c>
      <c r="C364">
        <v>0</v>
      </c>
      <c r="D364">
        <v>5</v>
      </c>
      <c r="E364">
        <v>47.9</v>
      </c>
      <c r="F364">
        <v>38</v>
      </c>
      <c r="G364" t="s">
        <v>420</v>
      </c>
      <c r="H364">
        <v>5</v>
      </c>
      <c r="I364">
        <v>5</v>
      </c>
    </row>
    <row r="365" spans="1:9">
      <c r="A365" t="s">
        <v>421</v>
      </c>
      <c r="B365">
        <v>29</v>
      </c>
      <c r="C365">
        <v>2</v>
      </c>
      <c r="D365">
        <v>3</v>
      </c>
      <c r="E365">
        <v>36</v>
      </c>
      <c r="F365">
        <v>284.3</v>
      </c>
      <c r="G365" t="s">
        <v>422</v>
      </c>
      <c r="H365">
        <v>6</v>
      </c>
      <c r="I365">
        <v>5</v>
      </c>
    </row>
    <row r="366" spans="1:9">
      <c r="A366" t="s">
        <v>419</v>
      </c>
      <c r="B366">
        <v>37</v>
      </c>
      <c r="C366">
        <v>1</v>
      </c>
      <c r="D366">
        <v>2</v>
      </c>
      <c r="E366">
        <v>34.3</v>
      </c>
      <c r="F366">
        <v>353.8</v>
      </c>
      <c r="G366" t="s">
        <v>422</v>
      </c>
      <c r="H366">
        <v>3</v>
      </c>
      <c r="I366">
        <v>5</v>
      </c>
    </row>
    <row r="367" spans="1:9">
      <c r="A367" t="s">
        <v>421</v>
      </c>
      <c r="B367">
        <v>39</v>
      </c>
      <c r="C367">
        <v>3</v>
      </c>
      <c r="D367">
        <v>4</v>
      </c>
      <c r="E367">
        <v>97.8</v>
      </c>
      <c r="F367">
        <v>356.3</v>
      </c>
      <c r="G367" t="s">
        <v>420</v>
      </c>
      <c r="H367">
        <v>3</v>
      </c>
      <c r="I367">
        <v>6</v>
      </c>
    </row>
    <row r="368" spans="1:9">
      <c r="A368" t="s">
        <v>423</v>
      </c>
      <c r="B368">
        <v>43</v>
      </c>
      <c r="C368">
        <v>4</v>
      </c>
      <c r="D368">
        <v>3</v>
      </c>
      <c r="E368">
        <v>109.5</v>
      </c>
      <c r="F368">
        <v>323.7</v>
      </c>
      <c r="G368" t="s">
        <v>420</v>
      </c>
      <c r="H368">
        <v>4</v>
      </c>
      <c r="I368">
        <v>2</v>
      </c>
    </row>
    <row r="369" spans="1:9">
      <c r="A369" t="s">
        <v>423</v>
      </c>
      <c r="B369">
        <v>40</v>
      </c>
      <c r="C369">
        <v>4</v>
      </c>
      <c r="D369">
        <v>4</v>
      </c>
      <c r="E369">
        <v>48.5</v>
      </c>
      <c r="F369">
        <v>81.8</v>
      </c>
      <c r="G369" t="s">
        <v>420</v>
      </c>
      <c r="H369">
        <v>6</v>
      </c>
      <c r="I369">
        <v>5</v>
      </c>
    </row>
    <row r="370" spans="1:9">
      <c r="A370" t="s">
        <v>419</v>
      </c>
      <c r="B370">
        <v>25</v>
      </c>
      <c r="C370">
        <v>2</v>
      </c>
      <c r="D370">
        <v>6</v>
      </c>
      <c r="E370">
        <v>138.5</v>
      </c>
      <c r="F370">
        <v>297.7</v>
      </c>
      <c r="G370" t="s">
        <v>420</v>
      </c>
      <c r="H370">
        <v>3</v>
      </c>
      <c r="I370">
        <v>8</v>
      </c>
    </row>
    <row r="371" spans="1:9">
      <c r="A371" t="s">
        <v>419</v>
      </c>
      <c r="B371">
        <v>36</v>
      </c>
      <c r="C371">
        <v>4</v>
      </c>
      <c r="D371">
        <v>6</v>
      </c>
      <c r="E371">
        <v>137.8</v>
      </c>
      <c r="F371">
        <v>338.5</v>
      </c>
      <c r="G371" t="s">
        <v>422</v>
      </c>
      <c r="H371">
        <v>5</v>
      </c>
      <c r="I371">
        <v>6</v>
      </c>
    </row>
    <row r="372" spans="1:9">
      <c r="A372" t="s">
        <v>421</v>
      </c>
      <c r="B372">
        <v>22</v>
      </c>
      <c r="C372">
        <v>4</v>
      </c>
      <c r="D372">
        <v>3</v>
      </c>
      <c r="E372">
        <v>63.4</v>
      </c>
      <c r="F372">
        <v>367.4</v>
      </c>
      <c r="G372" t="s">
        <v>422</v>
      </c>
      <c r="H372">
        <v>4</v>
      </c>
      <c r="I372">
        <v>4</v>
      </c>
    </row>
    <row r="373" spans="1:9">
      <c r="A373" t="s">
        <v>423</v>
      </c>
      <c r="B373">
        <v>36</v>
      </c>
      <c r="C373">
        <v>4</v>
      </c>
      <c r="D373">
        <v>1</v>
      </c>
      <c r="E373">
        <v>125.2</v>
      </c>
      <c r="F373">
        <v>45</v>
      </c>
      <c r="G373" t="s">
        <v>420</v>
      </c>
      <c r="H373">
        <v>3</v>
      </c>
      <c r="I373">
        <v>4</v>
      </c>
    </row>
    <row r="374" spans="1:9">
      <c r="A374" t="s">
        <v>419</v>
      </c>
      <c r="B374">
        <v>47</v>
      </c>
      <c r="C374">
        <v>1</v>
      </c>
      <c r="D374">
        <v>3</v>
      </c>
      <c r="E374">
        <v>74.59999999999999</v>
      </c>
      <c r="F374">
        <v>153.7</v>
      </c>
      <c r="G374" t="s">
        <v>422</v>
      </c>
      <c r="H374">
        <v>2</v>
      </c>
      <c r="I374">
        <v>7</v>
      </c>
    </row>
    <row r="375" spans="1:9">
      <c r="A375" t="s">
        <v>419</v>
      </c>
      <c r="B375">
        <v>38</v>
      </c>
      <c r="C375">
        <v>1</v>
      </c>
      <c r="D375">
        <v>3</v>
      </c>
      <c r="E375">
        <v>103.8</v>
      </c>
      <c r="F375">
        <v>305.6</v>
      </c>
      <c r="G375" t="s">
        <v>420</v>
      </c>
      <c r="H375">
        <v>4</v>
      </c>
      <c r="I375">
        <v>7</v>
      </c>
    </row>
    <row r="376" spans="1:9">
      <c r="A376" t="s">
        <v>419</v>
      </c>
      <c r="B376">
        <v>24</v>
      </c>
      <c r="C376">
        <v>4</v>
      </c>
      <c r="D376">
        <v>4</v>
      </c>
      <c r="E376">
        <v>88.5</v>
      </c>
      <c r="F376">
        <v>151.4</v>
      </c>
      <c r="G376" t="s">
        <v>420</v>
      </c>
      <c r="H376">
        <v>1</v>
      </c>
      <c r="I376">
        <v>1</v>
      </c>
    </row>
    <row r="377" spans="1:9">
      <c r="A377" t="s">
        <v>423</v>
      </c>
      <c r="B377">
        <v>25</v>
      </c>
      <c r="C377">
        <v>0</v>
      </c>
      <c r="D377">
        <v>3</v>
      </c>
      <c r="E377">
        <v>92</v>
      </c>
      <c r="F377">
        <v>364.8</v>
      </c>
      <c r="G377" t="s">
        <v>422</v>
      </c>
      <c r="H377">
        <v>3</v>
      </c>
      <c r="I377">
        <v>5</v>
      </c>
    </row>
    <row r="378" spans="1:9">
      <c r="A378" t="s">
        <v>421</v>
      </c>
      <c r="B378">
        <v>25</v>
      </c>
      <c r="C378">
        <v>1</v>
      </c>
      <c r="D378">
        <v>3</v>
      </c>
      <c r="E378">
        <v>131.6</v>
      </c>
      <c r="F378">
        <v>81.8</v>
      </c>
      <c r="G378" t="s">
        <v>422</v>
      </c>
      <c r="H378">
        <v>5</v>
      </c>
      <c r="I378">
        <v>6</v>
      </c>
    </row>
    <row r="379" spans="1:9">
      <c r="A379" t="s">
        <v>421</v>
      </c>
      <c r="B379">
        <v>38</v>
      </c>
      <c r="C379">
        <v>2</v>
      </c>
      <c r="D379">
        <v>3</v>
      </c>
      <c r="E379">
        <v>115.3</v>
      </c>
      <c r="F379">
        <v>43.8</v>
      </c>
      <c r="G379" t="s">
        <v>422</v>
      </c>
      <c r="H379">
        <v>3</v>
      </c>
      <c r="I379">
        <v>6</v>
      </c>
    </row>
    <row r="380" spans="1:9">
      <c r="A380" t="s">
        <v>423</v>
      </c>
      <c r="B380">
        <v>23</v>
      </c>
      <c r="C380">
        <v>1</v>
      </c>
      <c r="D380">
        <v>6</v>
      </c>
      <c r="E380">
        <v>59.2</v>
      </c>
      <c r="F380">
        <v>72.2</v>
      </c>
      <c r="G380" t="s">
        <v>422</v>
      </c>
      <c r="H380">
        <v>4</v>
      </c>
      <c r="I380">
        <v>8</v>
      </c>
    </row>
    <row r="381" spans="1:9">
      <c r="A381" t="s">
        <v>419</v>
      </c>
      <c r="B381">
        <v>28</v>
      </c>
      <c r="C381">
        <v>2</v>
      </c>
      <c r="D381">
        <v>2</v>
      </c>
      <c r="E381">
        <v>66.3</v>
      </c>
      <c r="F381">
        <v>233.9</v>
      </c>
      <c r="G381" t="s">
        <v>422</v>
      </c>
      <c r="H381">
        <v>6</v>
      </c>
      <c r="I381">
        <v>5</v>
      </c>
    </row>
    <row r="382" spans="1:9">
      <c r="A382" t="s">
        <v>423</v>
      </c>
      <c r="B382">
        <v>37</v>
      </c>
      <c r="C382">
        <v>4</v>
      </c>
      <c r="D382">
        <v>5</v>
      </c>
      <c r="E382">
        <v>35.9</v>
      </c>
      <c r="F382">
        <v>89.59999999999999</v>
      </c>
      <c r="G382" t="s">
        <v>420</v>
      </c>
      <c r="H382">
        <v>6</v>
      </c>
      <c r="I382">
        <v>4</v>
      </c>
    </row>
    <row r="383" spans="1:9">
      <c r="A383" t="s">
        <v>421</v>
      </c>
      <c r="B383">
        <v>30</v>
      </c>
      <c r="C383">
        <v>2</v>
      </c>
      <c r="D383">
        <v>1</v>
      </c>
      <c r="E383">
        <v>77.40000000000001</v>
      </c>
      <c r="F383">
        <v>94.7</v>
      </c>
      <c r="G383" t="s">
        <v>420</v>
      </c>
      <c r="H383">
        <v>2</v>
      </c>
      <c r="I383">
        <v>3</v>
      </c>
    </row>
    <row r="384" spans="1:9">
      <c r="A384" t="s">
        <v>421</v>
      </c>
      <c r="B384">
        <v>37</v>
      </c>
      <c r="C384">
        <v>2</v>
      </c>
      <c r="D384">
        <v>1</v>
      </c>
      <c r="E384">
        <v>95.8</v>
      </c>
      <c r="F384">
        <v>28.3</v>
      </c>
      <c r="G384" t="s">
        <v>422</v>
      </c>
      <c r="H384">
        <v>3</v>
      </c>
      <c r="I384">
        <v>7</v>
      </c>
    </row>
    <row r="385" spans="1:9">
      <c r="A385" t="s">
        <v>423</v>
      </c>
      <c r="B385">
        <v>28</v>
      </c>
      <c r="C385">
        <v>3</v>
      </c>
      <c r="D385">
        <v>2</v>
      </c>
      <c r="E385">
        <v>90.5</v>
      </c>
      <c r="F385">
        <v>141</v>
      </c>
      <c r="G385" t="s">
        <v>422</v>
      </c>
      <c r="H385">
        <v>2</v>
      </c>
      <c r="I385">
        <v>4</v>
      </c>
    </row>
    <row r="386" spans="1:9">
      <c r="A386" t="s">
        <v>419</v>
      </c>
      <c r="B386">
        <v>27</v>
      </c>
      <c r="C386">
        <v>3</v>
      </c>
      <c r="D386">
        <v>4</v>
      </c>
      <c r="E386">
        <v>100.7</v>
      </c>
      <c r="F386">
        <v>248.9</v>
      </c>
      <c r="G386" t="s">
        <v>422</v>
      </c>
      <c r="H386">
        <v>3</v>
      </c>
      <c r="I386">
        <v>8</v>
      </c>
    </row>
    <row r="387" spans="1:9">
      <c r="A387" t="s">
        <v>421</v>
      </c>
      <c r="B387">
        <v>27</v>
      </c>
      <c r="C387">
        <v>2</v>
      </c>
      <c r="D387">
        <v>5</v>
      </c>
      <c r="E387">
        <v>113</v>
      </c>
      <c r="F387">
        <v>306.3</v>
      </c>
      <c r="G387" t="s">
        <v>422</v>
      </c>
      <c r="H387">
        <v>4</v>
      </c>
      <c r="I387">
        <v>8</v>
      </c>
    </row>
    <row r="388" spans="1:9">
      <c r="A388" t="s">
        <v>419</v>
      </c>
      <c r="B388">
        <v>38</v>
      </c>
      <c r="C388">
        <v>4</v>
      </c>
      <c r="D388">
        <v>1</v>
      </c>
      <c r="E388">
        <v>84.2</v>
      </c>
      <c r="F388">
        <v>266.2</v>
      </c>
      <c r="G388" t="s">
        <v>422</v>
      </c>
      <c r="H388">
        <v>4</v>
      </c>
      <c r="I388">
        <v>7</v>
      </c>
    </row>
    <row r="389" spans="1:9">
      <c r="A389" t="s">
        <v>419</v>
      </c>
      <c r="B389">
        <v>56</v>
      </c>
      <c r="C389">
        <v>3</v>
      </c>
      <c r="D389">
        <v>2</v>
      </c>
      <c r="E389">
        <v>113.5</v>
      </c>
      <c r="F389">
        <v>175.3</v>
      </c>
      <c r="G389" t="s">
        <v>422</v>
      </c>
      <c r="H389">
        <v>5</v>
      </c>
      <c r="I389">
        <v>4</v>
      </c>
    </row>
    <row r="390" spans="1:9">
      <c r="A390" t="s">
        <v>421</v>
      </c>
      <c r="B390">
        <v>40</v>
      </c>
      <c r="C390">
        <v>2</v>
      </c>
      <c r="D390">
        <v>5</v>
      </c>
      <c r="E390">
        <v>32.3</v>
      </c>
      <c r="F390">
        <v>15.3</v>
      </c>
      <c r="G390" t="s">
        <v>422</v>
      </c>
      <c r="H390">
        <v>4</v>
      </c>
      <c r="I390">
        <v>4</v>
      </c>
    </row>
    <row r="391" spans="1:9">
      <c r="A391" t="s">
        <v>421</v>
      </c>
      <c r="B391">
        <v>37</v>
      </c>
      <c r="C391">
        <v>2</v>
      </c>
      <c r="D391">
        <v>3</v>
      </c>
      <c r="E391">
        <v>135.3</v>
      </c>
      <c r="F391">
        <v>202.3</v>
      </c>
      <c r="G391" t="s">
        <v>422</v>
      </c>
      <c r="H391">
        <v>6</v>
      </c>
      <c r="I391">
        <v>6</v>
      </c>
    </row>
    <row r="392" spans="1:9">
      <c r="A392" t="s">
        <v>421</v>
      </c>
      <c r="B392">
        <v>25</v>
      </c>
      <c r="C392">
        <v>1</v>
      </c>
      <c r="D392">
        <v>3</v>
      </c>
      <c r="E392">
        <v>120.4</v>
      </c>
      <c r="F392">
        <v>215.3</v>
      </c>
      <c r="G392" t="s">
        <v>422</v>
      </c>
      <c r="H392">
        <v>3</v>
      </c>
      <c r="I392">
        <v>5</v>
      </c>
    </row>
    <row r="393" spans="1:9">
      <c r="A393" t="s">
        <v>421</v>
      </c>
      <c r="B393">
        <v>40</v>
      </c>
      <c r="C393">
        <v>3</v>
      </c>
      <c r="D393">
        <v>4</v>
      </c>
      <c r="E393">
        <v>88.40000000000001</v>
      </c>
      <c r="F393">
        <v>75.59999999999999</v>
      </c>
      <c r="G393" t="s">
        <v>420</v>
      </c>
      <c r="H393">
        <v>4</v>
      </c>
      <c r="I393">
        <v>2</v>
      </c>
    </row>
    <row r="394" spans="1:9">
      <c r="A394" t="s">
        <v>421</v>
      </c>
      <c r="B394">
        <v>38</v>
      </c>
      <c r="C394">
        <v>4</v>
      </c>
      <c r="D394">
        <v>1</v>
      </c>
      <c r="E394">
        <v>100.7</v>
      </c>
      <c r="F394">
        <v>102</v>
      </c>
      <c r="G394" t="s">
        <v>420</v>
      </c>
      <c r="H394">
        <v>2</v>
      </c>
      <c r="I394">
        <v>4</v>
      </c>
    </row>
    <row r="395" spans="1:9">
      <c r="A395" t="s">
        <v>421</v>
      </c>
      <c r="B395">
        <v>42</v>
      </c>
      <c r="C395">
        <v>3</v>
      </c>
      <c r="D395">
        <v>5</v>
      </c>
      <c r="E395">
        <v>118.3</v>
      </c>
      <c r="F395">
        <v>277</v>
      </c>
      <c r="G395" t="s">
        <v>420</v>
      </c>
      <c r="H395">
        <v>6</v>
      </c>
      <c r="I395">
        <v>8</v>
      </c>
    </row>
    <row r="396" spans="1:9">
      <c r="A396" t="s">
        <v>421</v>
      </c>
      <c r="B396">
        <v>24</v>
      </c>
      <c r="C396">
        <v>1</v>
      </c>
      <c r="D396">
        <v>5</v>
      </c>
      <c r="E396">
        <v>115.9</v>
      </c>
      <c r="F396">
        <v>148.6</v>
      </c>
      <c r="G396" t="s">
        <v>422</v>
      </c>
      <c r="H396">
        <v>3</v>
      </c>
      <c r="I396">
        <v>2</v>
      </c>
    </row>
    <row r="397" spans="1:9">
      <c r="A397" t="s">
        <v>421</v>
      </c>
      <c r="B397">
        <v>34</v>
      </c>
      <c r="C397">
        <v>2</v>
      </c>
      <c r="D397">
        <v>5</v>
      </c>
      <c r="E397">
        <v>84</v>
      </c>
      <c r="F397">
        <v>137.3</v>
      </c>
      <c r="G397" t="s">
        <v>422</v>
      </c>
      <c r="H397">
        <v>4</v>
      </c>
      <c r="I397">
        <v>7</v>
      </c>
    </row>
    <row r="398" spans="1:9">
      <c r="A398" t="s">
        <v>419</v>
      </c>
      <c r="B398">
        <v>35</v>
      </c>
      <c r="C398">
        <v>1</v>
      </c>
      <c r="D398">
        <v>1</v>
      </c>
      <c r="E398">
        <v>46.9</v>
      </c>
      <c r="F398">
        <v>44.7</v>
      </c>
      <c r="G398" t="s">
        <v>422</v>
      </c>
      <c r="H398">
        <v>3</v>
      </c>
      <c r="I398">
        <v>6</v>
      </c>
    </row>
    <row r="399" spans="1:9">
      <c r="A399" t="s">
        <v>423</v>
      </c>
      <c r="B399">
        <v>47</v>
      </c>
      <c r="C399">
        <v>2</v>
      </c>
      <c r="D399">
        <v>2</v>
      </c>
      <c r="E399">
        <v>103.7</v>
      </c>
      <c r="F399">
        <v>78.2</v>
      </c>
      <c r="G399" t="s">
        <v>420</v>
      </c>
      <c r="H399">
        <v>3</v>
      </c>
      <c r="I399">
        <v>7</v>
      </c>
    </row>
    <row r="400" spans="1:9">
      <c r="A400" t="s">
        <v>421</v>
      </c>
      <c r="B400">
        <v>29</v>
      </c>
      <c r="C400">
        <v>3</v>
      </c>
      <c r="D400">
        <v>2</v>
      </c>
      <c r="E400">
        <v>43.1</v>
      </c>
      <c r="F400">
        <v>378.7</v>
      </c>
      <c r="G400" t="s">
        <v>420</v>
      </c>
      <c r="H400">
        <v>5</v>
      </c>
      <c r="I400">
        <v>7</v>
      </c>
    </row>
    <row r="401" spans="1:9">
      <c r="A401" t="s">
        <v>419</v>
      </c>
      <c r="B401">
        <v>32</v>
      </c>
      <c r="C401">
        <v>3</v>
      </c>
      <c r="D401">
        <v>1</v>
      </c>
      <c r="E401">
        <v>41.2</v>
      </c>
      <c r="F401">
        <v>221</v>
      </c>
      <c r="G401" t="s">
        <v>422</v>
      </c>
      <c r="H401">
        <v>4</v>
      </c>
      <c r="I401">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Portada</vt:lpstr>
      <vt:lpstr>Presentación</vt:lpstr>
      <vt:lpstr>Introducción</vt:lpstr>
      <vt:lpstr>Objetivos</vt:lpstr>
      <vt:lpstr>Ejercicio 1</vt:lpstr>
      <vt:lpstr>Ejercicio 2</vt:lpstr>
      <vt:lpstr>Ejercicio 3</vt:lpstr>
      <vt:lpstr>Conclusiones</vt:lpstr>
      <vt:lpstr>Bibliografía</vt:lpstr>
      <vt:lpstr>Anexos</vt:lpstr>
      <vt:lpstr>DATOS</vt:lpstr>
      <vt:lpstr>'Ejercicio 2'!Print_Area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Actividad No 2 de Probabilidad y Estadística (AF17401)</dc:title>
  <dc:subject>Estadística descriptiva: accidentalidad en el Tolima</dc:subject>
  <dc:creator>Jairo Alonso Osorio Cruz</dc:creator>
  <dc:description>Universidad de Cartagena, Ingeniería de Software</dc:description>
  <cp:lastModifiedBy>Jairo Alonso Osorio Cruz</cp:lastModifiedBy>
  <dcterms:created xsi:type="dcterms:W3CDTF">2026-09-19T04:37:05Z</dcterms:created>
  <dcterms:modified xsi:type="dcterms:W3CDTF">2026-09-19T04:37:05Z</dcterms:modified>
</cp:coreProperties>
</file>